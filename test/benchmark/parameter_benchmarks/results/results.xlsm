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ydia/Repos/iGenVar/test/benchmark/"/>
    </mc:Choice>
  </mc:AlternateContent>
  <xr:revisionPtr revIDLastSave="0" documentId="13_ncr:1_{9B9AB222-AB81-1E44-815A-3D2E0112C148}" xr6:coauthVersionLast="45" xr6:coauthVersionMax="45" xr10:uidLastSave="{00000000-0000-0000-0000-000000000000}"/>
  <bookViews>
    <workbookView xWindow="0" yWindow="460" windowWidth="38400" windowHeight="19540" xr2:uid="{00000000-000D-0000-FFFF-FFFF00000000}"/>
  </bookViews>
  <sheets>
    <sheet name="results" sheetId="1" r:id="rId1"/>
  </sheets>
  <calcPr calcId="191029"/>
</workbook>
</file>

<file path=xl/calcChain.xml><?xml version="1.0" encoding="utf-8"?>
<calcChain xmlns="http://schemas.openxmlformats.org/spreadsheetml/2006/main">
  <c r="Q27" i="1" l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27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</calcChain>
</file>

<file path=xl/sharedStrings.xml><?xml version="1.0" encoding="utf-8"?>
<sst xmlns="http://schemas.openxmlformats.org/spreadsheetml/2006/main" count="11" uniqueCount="11">
  <si>
    <t>min_qual</t>
  </si>
  <si>
    <t>hierarchical_clustering_cutoff</t>
  </si>
  <si>
    <t>precision</t>
  </si>
  <si>
    <t>recall</t>
  </si>
  <si>
    <t>f1</t>
  </si>
  <si>
    <t>precision_multimatch</t>
  </si>
  <si>
    <t>recall_multimatch</t>
  </si>
  <si>
    <t>f1_multimatch</t>
  </si>
  <si>
    <t>F-Measure = (2 * Precision * Recall) / (Precision + Recall)</t>
  </si>
  <si>
    <t>precision/recall</t>
  </si>
  <si>
    <t>recall/precision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</si>
</sst>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2" fontId="0" fillId="0" borderId="0" xfId="0" applyNumberFormat="1"/>
    <xf numFmtId="164" fontId="0" fillId="0" borderId="0" xfId="42" applyNumberFormat="1" applyFont="1"/>
    <xf numFmtId="10" fontId="0" fillId="0" borderId="0" xfId="42" applyNumberFormat="1" applyFont="1"/>
    <xf numFmtId="10" fontId="16" fillId="0" borderId="0" xfId="42" applyNumberFormat="1" applyFont="1"/>
    <xf numFmtId="0" fontId="16" fillId="33" borderId="0" xfId="0" applyFont="1" applyFill="1"/>
    <xf numFmtId="164" fontId="16" fillId="0" borderId="0" xfId="42" applyNumberFormat="1" applyFont="1"/>
    <xf numFmtId="9" fontId="0" fillId="0" borderId="0" xfId="42" applyNumberFormat="1" applyFont="1"/>
    <xf numFmtId="10" fontId="0" fillId="34" borderId="0" xfId="42" applyNumberFormat="1" applyFont="1" applyFill="1"/>
    <xf numFmtId="10" fontId="0" fillId="35" borderId="0" xfId="42" applyNumberFormat="1" applyFont="1" applyFill="1"/>
    <xf numFmtId="0" fontId="0" fillId="36" borderId="0" xfId="0" applyFill="1"/>
    <xf numFmtId="10" fontId="0" fillId="36" borderId="0" xfId="42" applyNumberFormat="1" applyFont="1" applyFill="1"/>
    <xf numFmtId="0" fontId="16" fillId="0" borderId="0" xfId="0" applyFont="1"/>
    <xf numFmtId="0" fontId="16" fillId="0" borderId="10" xfId="0" applyFont="1" applyBorder="1"/>
    <xf numFmtId="10" fontId="0" fillId="0" borderId="10" xfId="42" applyNumberFormat="1" applyFont="1" applyBorder="1"/>
    <xf numFmtId="10" fontId="1" fillId="36" borderId="10" xfId="42" applyNumberFormat="1" applyFont="1" applyFill="1" applyBorder="1"/>
    <xf numFmtId="10" fontId="1" fillId="36" borderId="0" xfId="42" applyNumberFormat="1" applyFont="1" applyFill="1"/>
    <xf numFmtId="10" fontId="0" fillId="34" borderId="10" xfId="42" applyNumberFormat="1" applyFont="1" applyFill="1" applyBorder="1"/>
    <xf numFmtId="0" fontId="0" fillId="0" borderId="0" xfId="0" applyAlignment="1">
      <alignment horizontal="center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Prozent" xfId="42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5"/>
          <c:order val="0"/>
          <c:tx>
            <c:v>10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results!$D$2:$D$4</c:f>
              <c:numCache>
                <c:formatCode>0.00%</c:formatCode>
                <c:ptCount val="3"/>
                <c:pt idx="0">
                  <c:v>0.66741916690940795</c:v>
                </c:pt>
                <c:pt idx="1">
                  <c:v>0.63348383338188097</c:v>
                </c:pt>
                <c:pt idx="2">
                  <c:v>0.53750364113020599</c:v>
                </c:pt>
              </c:numCache>
            </c:numRef>
          </c:xVal>
          <c:yVal>
            <c:numRef>
              <c:f>results!$C$2:$C$4</c:f>
              <c:numCache>
                <c:formatCode>0.00%</c:formatCode>
                <c:ptCount val="3"/>
                <c:pt idx="0">
                  <c:v>0.38092269326683198</c:v>
                </c:pt>
                <c:pt idx="1">
                  <c:v>0.89578828133044996</c:v>
                </c:pt>
                <c:pt idx="2">
                  <c:v>0.94362055740219897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500-9341-A796-1C3FD5A0C6B8}"/>
            </c:ext>
          </c:extLst>
        </c:ser>
        <c:ser>
          <c:idx val="6"/>
          <c:order val="1"/>
          <c:tx>
            <c:v>50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results!$D$5:$D$7</c:f>
              <c:numCache>
                <c:formatCode>0.00%</c:formatCode>
                <c:ptCount val="3"/>
                <c:pt idx="0">
                  <c:v>0.66414214972327401</c:v>
                </c:pt>
                <c:pt idx="1">
                  <c:v>0.63690649577628899</c:v>
                </c:pt>
                <c:pt idx="2">
                  <c:v>0.55345179143606105</c:v>
                </c:pt>
              </c:numCache>
            </c:numRef>
          </c:xVal>
          <c:yVal>
            <c:numRef>
              <c:f>results!$C$5:$C$7</c:f>
              <c:numCache>
                <c:formatCode>0.00%</c:formatCode>
                <c:ptCount val="3"/>
                <c:pt idx="0">
                  <c:v>0.48785706643842902</c:v>
                </c:pt>
                <c:pt idx="1">
                  <c:v>0.90090646889163495</c:v>
                </c:pt>
                <c:pt idx="2">
                  <c:v>0.94456872980362905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500-9341-A796-1C3FD5A0C6B8}"/>
            </c:ext>
          </c:extLst>
        </c:ser>
        <c:ser>
          <c:idx val="7"/>
          <c:order val="2"/>
          <c:tx>
            <c:v>100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results!$D$8:$D$10</c:f>
              <c:numCache>
                <c:formatCode>0.00%</c:formatCode>
                <c:ptCount val="3"/>
                <c:pt idx="0">
                  <c:v>0.66261287503641098</c:v>
                </c:pt>
                <c:pt idx="1">
                  <c:v>0.63829012525487905</c:v>
                </c:pt>
                <c:pt idx="2">
                  <c:v>0.56102534226623901</c:v>
                </c:pt>
              </c:numCache>
            </c:numRef>
          </c:xVal>
          <c:yVal>
            <c:numRef>
              <c:f>results!$C$8:$C$10</c:f>
              <c:numCache>
                <c:formatCode>0.00%</c:formatCode>
                <c:ptCount val="3"/>
                <c:pt idx="0">
                  <c:v>0.55239193783389995</c:v>
                </c:pt>
                <c:pt idx="1">
                  <c:v>0.90398102310230999</c:v>
                </c:pt>
                <c:pt idx="2">
                  <c:v>0.94550810014727504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00-9341-A796-1C3FD5A0C6B8}"/>
            </c:ext>
          </c:extLst>
        </c:ser>
        <c:ser>
          <c:idx val="8"/>
          <c:order val="3"/>
          <c:tx>
            <c:v>150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results!$D$11:$D$13</c:f>
              <c:numCache>
                <c:formatCode>0.00%</c:formatCode>
                <c:ptCount val="3"/>
                <c:pt idx="0">
                  <c:v>0.661520535974366</c:v>
                </c:pt>
                <c:pt idx="1">
                  <c:v>0.63814448004660596</c:v>
                </c:pt>
                <c:pt idx="2">
                  <c:v>0.563865423827556</c:v>
                </c:pt>
              </c:numCache>
            </c:numRef>
          </c:xVal>
          <c:yVal>
            <c:numRef>
              <c:f>results!$C$11:$C$13</c:f>
              <c:numCache>
                <c:formatCode>0.00%</c:formatCode>
                <c:ptCount val="3"/>
                <c:pt idx="0">
                  <c:v>0.57837769005475603</c:v>
                </c:pt>
                <c:pt idx="1">
                  <c:v>0.90808290155440397</c:v>
                </c:pt>
                <c:pt idx="2">
                  <c:v>0.9451904296875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500-9341-A796-1C3FD5A0C6B8}"/>
            </c:ext>
          </c:extLst>
        </c:ser>
        <c:ser>
          <c:idx val="4"/>
          <c:order val="4"/>
          <c:tx>
            <c:v>f1=0,9</c:v>
          </c:tx>
          <c:spPr>
            <a:ln w="19050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xVal>
            <c:numRef>
              <c:f>results!$R$26:$T$26</c:f>
              <c:numCache>
                <c:formatCode>0.0%</c:formatCode>
                <c:ptCount val="3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</c:numCache>
            </c:numRef>
          </c:xVal>
          <c:yVal>
            <c:numRef>
              <c:f>results!$AK$44:$AK$46</c:f>
              <c:numCache>
                <c:formatCode>0.0%</c:formatCode>
                <c:ptCount val="3"/>
                <c:pt idx="0">
                  <c:v>0.85</c:v>
                </c:pt>
                <c:pt idx="1">
                  <c:v>0.9</c:v>
                </c:pt>
                <c:pt idx="2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500-9341-A796-1C3FD5A0C6B8}"/>
            </c:ext>
          </c:extLst>
        </c:ser>
        <c:ser>
          <c:idx val="0"/>
          <c:order val="5"/>
          <c:tx>
            <c:v>f1=0,8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results!$T$26:$V$26</c:f>
              <c:numCache>
                <c:formatCode>0.0%</c:formatCode>
                <c:ptCount val="3"/>
                <c:pt idx="0">
                  <c:v>0.85</c:v>
                </c:pt>
                <c:pt idx="1">
                  <c:v>0.8</c:v>
                </c:pt>
                <c:pt idx="2">
                  <c:v>0.75</c:v>
                </c:pt>
              </c:numCache>
            </c:numRef>
          </c:xVal>
          <c:yVal>
            <c:numRef>
              <c:f>results!$AK$42:$AK$44</c:f>
              <c:numCache>
                <c:formatCode>0.0%</c:formatCode>
                <c:ptCount val="3"/>
                <c:pt idx="0">
                  <c:v>0.75</c:v>
                </c:pt>
                <c:pt idx="1">
                  <c:v>0.8</c:v>
                </c:pt>
                <c:pt idx="2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500-9341-A796-1C3FD5A0C6B8}"/>
            </c:ext>
          </c:extLst>
        </c:ser>
        <c:ser>
          <c:idx val="1"/>
          <c:order val="6"/>
          <c:tx>
            <c:v>f1=0,7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(results!$R$26,results!$T$26,results!$V$26:$Z$26)</c:f>
              <c:numCache>
                <c:formatCode>0.0%</c:formatCode>
                <c:ptCount val="7"/>
                <c:pt idx="0">
                  <c:v>0.95</c:v>
                </c:pt>
                <c:pt idx="1">
                  <c:v>0.85</c:v>
                </c:pt>
                <c:pt idx="2">
                  <c:v>0.75</c:v>
                </c:pt>
                <c:pt idx="3">
                  <c:v>0.7</c:v>
                </c:pt>
                <c:pt idx="4">
                  <c:v>0.65</c:v>
                </c:pt>
                <c:pt idx="5">
                  <c:v>0.6</c:v>
                </c:pt>
                <c:pt idx="6">
                  <c:v>0.55000000000000004</c:v>
                </c:pt>
              </c:numCache>
            </c:numRef>
          </c:xVal>
          <c:yVal>
            <c:numRef>
              <c:f>(results!$AK$38:$AK$42,results!$AK$44,results!$AK$46)</c:f>
              <c:numCache>
                <c:formatCode>0.0%</c:formatCode>
                <c:ptCount val="7"/>
                <c:pt idx="0">
                  <c:v>0.55000000000000004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0.85</c:v>
                </c:pt>
                <c:pt idx="6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500-9341-A796-1C3FD5A0C6B8}"/>
            </c:ext>
          </c:extLst>
        </c:ser>
        <c:ser>
          <c:idx val="2"/>
          <c:order val="7"/>
          <c:tx>
            <c:v>f1=0,6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(results!$S$26,results!$V$26,results!$X$26:$AB$26)</c:f>
              <c:numCache>
                <c:formatCode>0.0%</c:formatCode>
                <c:ptCount val="7"/>
                <c:pt idx="0">
                  <c:v>0.9</c:v>
                </c:pt>
                <c:pt idx="1">
                  <c:v>0.75</c:v>
                </c:pt>
                <c:pt idx="2">
                  <c:v>0.65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</c:v>
                </c:pt>
                <c:pt idx="6">
                  <c:v>0.45</c:v>
                </c:pt>
              </c:numCache>
            </c:numRef>
          </c:xVal>
          <c:yVal>
            <c:numRef>
              <c:f>(results!$AK$36:$AK$40,results!$AK$42,results!$AK$45)</c:f>
              <c:numCache>
                <c:formatCode>0.0%</c:formatCode>
                <c:ptCount val="7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  <c:pt idx="5">
                  <c:v>0.75</c:v>
                </c:pt>
                <c:pt idx="6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6500-9341-A796-1C3FD5A0C6B8}"/>
            </c:ext>
          </c:extLst>
        </c:ser>
        <c:ser>
          <c:idx val="3"/>
          <c:order val="8"/>
          <c:tx>
            <c:v>f1=0,5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(results!$S$26:$T$26,results!$X$26,results!$Z$26:$AD$26,results!$AD$26)</c:f>
              <c:numCache>
                <c:formatCode>0.0%</c:formatCode>
                <c:ptCount val="9"/>
                <c:pt idx="0">
                  <c:v>0.9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0.5</c:v>
                </c:pt>
                <c:pt idx="5">
                  <c:v>0.45</c:v>
                </c:pt>
                <c:pt idx="6">
                  <c:v>0.4</c:v>
                </c:pt>
                <c:pt idx="7">
                  <c:v>0.35</c:v>
                </c:pt>
                <c:pt idx="8">
                  <c:v>0.35</c:v>
                </c:pt>
              </c:numCache>
            </c:numRef>
          </c:xVal>
          <c:yVal>
            <c:numRef>
              <c:f>(results!$AK$34,results!$AK$34,results!$AK$35:$AK$38,results!$AK$40,results!$AK$44:$AK$45)</c:f>
              <c:numCache>
                <c:formatCode>0.0%</c:formatCode>
                <c:ptCount val="9"/>
                <c:pt idx="0">
                  <c:v>0.35</c:v>
                </c:pt>
                <c:pt idx="1">
                  <c:v>0.35</c:v>
                </c:pt>
                <c:pt idx="2">
                  <c:v>0.4</c:v>
                </c:pt>
                <c:pt idx="3">
                  <c:v>0.45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0.85</c:v>
                </c:pt>
                <c:pt idx="8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500-9341-A796-1C3FD5A0C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40560"/>
        <c:axId val="1568672144"/>
      </c:scatterChart>
      <c:valAx>
        <c:axId val="15688405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Recall</a:t>
                </a:r>
                <a:r>
                  <a:rPr lang="de-DE" sz="1000" b="0" i="0" u="none" strike="noStrike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8672144"/>
        <c:crosses val="autoZero"/>
        <c:crossBetween val="midCat"/>
      </c:valAx>
      <c:valAx>
        <c:axId val="15686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Precision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8840560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span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9"/>
          <c:order val="0"/>
          <c:tx>
            <c:v>10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results!$G$2:$G$4</c:f>
              <c:numCache>
                <c:formatCode>0.00%</c:formatCode>
                <c:ptCount val="3"/>
                <c:pt idx="0">
                  <c:v>0.676085056801631</c:v>
                </c:pt>
                <c:pt idx="1">
                  <c:v>0.64397028837751202</c:v>
                </c:pt>
                <c:pt idx="2">
                  <c:v>0.54529565977279304</c:v>
                </c:pt>
              </c:numCache>
            </c:numRef>
          </c:xVal>
          <c:yVal>
            <c:numRef>
              <c:f>results!$F$2:$F$4</c:f>
              <c:numCache>
                <c:formatCode>0.00%</c:formatCode>
                <c:ptCount val="3"/>
                <c:pt idx="0">
                  <c:v>0.71910159179931599</c:v>
                </c:pt>
                <c:pt idx="1">
                  <c:v>0.93324418843859203</c:v>
                </c:pt>
                <c:pt idx="2">
                  <c:v>0.95784902286371099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2F5-E441-B9ED-92B502881A31}"/>
            </c:ext>
          </c:extLst>
        </c:ser>
        <c:ser>
          <c:idx val="10"/>
          <c:order val="1"/>
          <c:tx>
            <c:v>50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results!$G$5:$G$7</c:f>
              <c:numCache>
                <c:formatCode>0.00%</c:formatCode>
                <c:ptCount val="3"/>
                <c:pt idx="0">
                  <c:v>0.67528400815613099</c:v>
                </c:pt>
                <c:pt idx="1">
                  <c:v>0.64790270900087299</c:v>
                </c:pt>
                <c:pt idx="2">
                  <c:v>0.56189921351587502</c:v>
                </c:pt>
              </c:numCache>
            </c:numRef>
          </c:xVal>
          <c:yVal>
            <c:numRef>
              <c:f>results!$F$5:$F$7</c:f>
              <c:numCache>
                <c:formatCode>0.00%</c:formatCode>
                <c:ptCount val="3"/>
                <c:pt idx="0">
                  <c:v>0.67766076869620995</c:v>
                </c:pt>
                <c:pt idx="1">
                  <c:v>0.92879925918304296</c:v>
                </c:pt>
                <c:pt idx="2">
                  <c:v>0.95380029806259303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2F5-E441-B9ED-92B502881A31}"/>
            </c:ext>
          </c:extLst>
        </c:ser>
        <c:ser>
          <c:idx val="11"/>
          <c:order val="2"/>
          <c:tx>
            <c:v>100</c:v>
          </c:tx>
          <c:spPr>
            <a:ln>
              <a:solidFill>
                <a:srgbClr val="92D050"/>
              </a:solidFill>
            </a:ln>
          </c:spPr>
          <c:xVal>
            <c:numRef>
              <c:f>results!$G$8:$G$10</c:f>
              <c:numCache>
                <c:formatCode>0.00%</c:formatCode>
                <c:ptCount val="3"/>
                <c:pt idx="0">
                  <c:v>0.67455578211476797</c:v>
                </c:pt>
                <c:pt idx="1">
                  <c:v>0.64979609670841798</c:v>
                </c:pt>
                <c:pt idx="2">
                  <c:v>0.56998252257500703</c:v>
                </c:pt>
              </c:numCache>
            </c:numRef>
          </c:xVal>
          <c:yVal>
            <c:numRef>
              <c:f>results!$F$8:$F$10</c:f>
              <c:numCache>
                <c:formatCode>0.00%</c:formatCode>
                <c:ptCount val="3"/>
                <c:pt idx="0">
                  <c:v>0.66328944973609105</c:v>
                </c:pt>
                <c:pt idx="1">
                  <c:v>0.92417061611374396</c:v>
                </c:pt>
                <c:pt idx="2">
                  <c:v>0.95045376502330103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2F5-E441-B9ED-92B502881A31}"/>
            </c:ext>
          </c:extLst>
        </c:ser>
        <c:ser>
          <c:idx val="12"/>
          <c:order val="3"/>
          <c:tx>
            <c:v>150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results!$G$11:$G$13</c:f>
              <c:numCache>
                <c:formatCode>0.00%</c:formatCode>
                <c:ptCount val="3"/>
                <c:pt idx="0">
                  <c:v>0.67375473346926795</c:v>
                </c:pt>
                <c:pt idx="1">
                  <c:v>0.64957762889600901</c:v>
                </c:pt>
                <c:pt idx="2">
                  <c:v>0.57274978153218703</c:v>
                </c:pt>
              </c:numCache>
            </c:numRef>
          </c:xVal>
          <c:yVal>
            <c:numRef>
              <c:f>results!$F$11:$F$13</c:f>
              <c:numCache>
                <c:formatCode>0.00%</c:formatCode>
                <c:ptCount val="3"/>
                <c:pt idx="0">
                  <c:v>0.66547838818511595</c:v>
                </c:pt>
                <c:pt idx="1">
                  <c:v>0.92334783509426099</c:v>
                </c:pt>
                <c:pt idx="2">
                  <c:v>0.94875549048316199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2F5-E441-B9ED-92B502881A31}"/>
            </c:ext>
          </c:extLst>
        </c:ser>
        <c:ser>
          <c:idx val="4"/>
          <c:order val="4"/>
          <c:tx>
            <c:v>f1=0,9</c:v>
          </c:tx>
          <c:spPr>
            <a:ln w="19050" cap="rnd">
              <a:solidFill>
                <a:schemeClr val="bg2"/>
              </a:solidFill>
              <a:round/>
            </a:ln>
            <a:effectLst/>
          </c:spPr>
          <c:marker>
            <c:symbol val="none"/>
          </c:marker>
          <c:xVal>
            <c:numRef>
              <c:f>results!$R$26:$T$26</c:f>
              <c:numCache>
                <c:formatCode>0.0%</c:formatCode>
                <c:ptCount val="3"/>
                <c:pt idx="0">
                  <c:v>0.95</c:v>
                </c:pt>
                <c:pt idx="1">
                  <c:v>0.9</c:v>
                </c:pt>
                <c:pt idx="2">
                  <c:v>0.85</c:v>
                </c:pt>
              </c:numCache>
            </c:numRef>
          </c:xVal>
          <c:yVal>
            <c:numRef>
              <c:f>results!$AK$44:$AK$46</c:f>
              <c:numCache>
                <c:formatCode>0.0%</c:formatCode>
                <c:ptCount val="3"/>
                <c:pt idx="0">
                  <c:v>0.85</c:v>
                </c:pt>
                <c:pt idx="1">
                  <c:v>0.9</c:v>
                </c:pt>
                <c:pt idx="2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2F5-E441-B9ED-92B502881A31}"/>
            </c:ext>
          </c:extLst>
        </c:ser>
        <c:ser>
          <c:idx val="0"/>
          <c:order val="5"/>
          <c:tx>
            <c:v>f1=0,8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results!$T$26:$V$26</c:f>
              <c:numCache>
                <c:formatCode>0.0%</c:formatCode>
                <c:ptCount val="3"/>
                <c:pt idx="0">
                  <c:v>0.85</c:v>
                </c:pt>
                <c:pt idx="1">
                  <c:v>0.8</c:v>
                </c:pt>
                <c:pt idx="2">
                  <c:v>0.75</c:v>
                </c:pt>
              </c:numCache>
            </c:numRef>
          </c:xVal>
          <c:yVal>
            <c:numRef>
              <c:f>results!$AK$42:$AK$44</c:f>
              <c:numCache>
                <c:formatCode>0.0%</c:formatCode>
                <c:ptCount val="3"/>
                <c:pt idx="0">
                  <c:v>0.75</c:v>
                </c:pt>
                <c:pt idx="1">
                  <c:v>0.8</c:v>
                </c:pt>
                <c:pt idx="2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2F5-E441-B9ED-92B502881A31}"/>
            </c:ext>
          </c:extLst>
        </c:ser>
        <c:ser>
          <c:idx val="1"/>
          <c:order val="6"/>
          <c:tx>
            <c:v>f1=0,7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(results!$R$26,results!$T$26,results!$V$26:$Z$26)</c:f>
              <c:numCache>
                <c:formatCode>0.0%</c:formatCode>
                <c:ptCount val="7"/>
                <c:pt idx="0">
                  <c:v>0.95</c:v>
                </c:pt>
                <c:pt idx="1">
                  <c:v>0.85</c:v>
                </c:pt>
                <c:pt idx="2">
                  <c:v>0.75</c:v>
                </c:pt>
                <c:pt idx="3">
                  <c:v>0.7</c:v>
                </c:pt>
                <c:pt idx="4">
                  <c:v>0.65</c:v>
                </c:pt>
                <c:pt idx="5">
                  <c:v>0.6</c:v>
                </c:pt>
                <c:pt idx="6">
                  <c:v>0.55000000000000004</c:v>
                </c:pt>
              </c:numCache>
            </c:numRef>
          </c:xVal>
          <c:yVal>
            <c:numRef>
              <c:f>(results!$AK$38:$AK$42,results!$AK$44,results!$AK$46)</c:f>
              <c:numCache>
                <c:formatCode>0.0%</c:formatCode>
                <c:ptCount val="7"/>
                <c:pt idx="0">
                  <c:v>0.55000000000000004</c:v>
                </c:pt>
                <c:pt idx="1">
                  <c:v>0.6</c:v>
                </c:pt>
                <c:pt idx="2">
                  <c:v>0.65</c:v>
                </c:pt>
                <c:pt idx="3">
                  <c:v>0.7</c:v>
                </c:pt>
                <c:pt idx="4">
                  <c:v>0.75</c:v>
                </c:pt>
                <c:pt idx="5">
                  <c:v>0.85</c:v>
                </c:pt>
                <c:pt idx="6">
                  <c:v>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2F5-E441-B9ED-92B502881A31}"/>
            </c:ext>
          </c:extLst>
        </c:ser>
        <c:ser>
          <c:idx val="2"/>
          <c:order val="7"/>
          <c:tx>
            <c:v>f1=0,6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(results!$S$26,results!$V$26,results!$X$26:$AB$26)</c:f>
              <c:numCache>
                <c:formatCode>0.0%</c:formatCode>
                <c:ptCount val="7"/>
                <c:pt idx="0">
                  <c:v>0.9</c:v>
                </c:pt>
                <c:pt idx="1">
                  <c:v>0.75</c:v>
                </c:pt>
                <c:pt idx="2">
                  <c:v>0.65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</c:v>
                </c:pt>
                <c:pt idx="6">
                  <c:v>0.45</c:v>
                </c:pt>
              </c:numCache>
            </c:numRef>
          </c:xVal>
          <c:yVal>
            <c:numRef>
              <c:f>(results!$AK$36:$AK$40,results!$AK$42,results!$AK$45)</c:f>
              <c:numCache>
                <c:formatCode>0.0%</c:formatCode>
                <c:ptCount val="7"/>
                <c:pt idx="0">
                  <c:v>0.45</c:v>
                </c:pt>
                <c:pt idx="1">
                  <c:v>0.5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0.65</c:v>
                </c:pt>
                <c:pt idx="5">
                  <c:v>0.75</c:v>
                </c:pt>
                <c:pt idx="6">
                  <c:v>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82F5-E441-B9ED-92B502881A31}"/>
            </c:ext>
          </c:extLst>
        </c:ser>
        <c:ser>
          <c:idx val="3"/>
          <c:order val="8"/>
          <c:tx>
            <c:v>f1=0,5</c:v>
          </c:tx>
          <c:spPr>
            <a:ln>
              <a:solidFill>
                <a:schemeClr val="bg2"/>
              </a:solidFill>
            </a:ln>
          </c:spPr>
          <c:marker>
            <c:symbol val="none"/>
          </c:marker>
          <c:xVal>
            <c:numRef>
              <c:f>(results!$S$26:$T$26,results!$X$26,results!$Z$26:$AD$26,results!$AD$26)</c:f>
              <c:numCache>
                <c:formatCode>0.0%</c:formatCode>
                <c:ptCount val="9"/>
                <c:pt idx="0">
                  <c:v>0.9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0.5</c:v>
                </c:pt>
                <c:pt idx="5">
                  <c:v>0.45</c:v>
                </c:pt>
                <c:pt idx="6">
                  <c:v>0.4</c:v>
                </c:pt>
                <c:pt idx="7">
                  <c:v>0.35</c:v>
                </c:pt>
                <c:pt idx="8">
                  <c:v>0.35</c:v>
                </c:pt>
              </c:numCache>
            </c:numRef>
          </c:xVal>
          <c:yVal>
            <c:numRef>
              <c:f>(results!$AK$34,results!$AK$34,results!$AK$35:$AK$38,results!$AK$40,results!$AK$44:$AK$45)</c:f>
              <c:numCache>
                <c:formatCode>0.0%</c:formatCode>
                <c:ptCount val="9"/>
                <c:pt idx="0">
                  <c:v>0.35</c:v>
                </c:pt>
                <c:pt idx="1">
                  <c:v>0.35</c:v>
                </c:pt>
                <c:pt idx="2">
                  <c:v>0.4</c:v>
                </c:pt>
                <c:pt idx="3">
                  <c:v>0.45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0.85</c:v>
                </c:pt>
                <c:pt idx="8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2F5-E441-B9ED-92B50288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840560"/>
        <c:axId val="1568672144"/>
      </c:scatterChart>
      <c:valAx>
        <c:axId val="15688405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Recall</a:t>
                </a:r>
                <a:r>
                  <a:rPr lang="de-DE" sz="1000" b="0" i="0" u="none" strike="noStrike" baseline="0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8672144"/>
        <c:crosses val="autoZero"/>
        <c:crossBetween val="midCat"/>
      </c:valAx>
      <c:valAx>
        <c:axId val="15686721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Precision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68840560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span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13</xdr:row>
      <xdr:rowOff>127000</xdr:rowOff>
    </xdr:from>
    <xdr:to>
      <xdr:col>6</xdr:col>
      <xdr:colOff>1143000</xdr:colOff>
      <xdr:row>42</xdr:row>
      <xdr:rowOff>152400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07045DB-2F37-5246-A5F7-49EDA79E6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1219200</xdr:colOff>
      <xdr:row>13</xdr:row>
      <xdr:rowOff>139700</xdr:rowOff>
    </xdr:from>
    <xdr:to>
      <xdr:col>15</xdr:col>
      <xdr:colOff>457200</xdr:colOff>
      <xdr:row>42</xdr:row>
      <xdr:rowOff>165100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69B54DD8-883F-8C44-BF29-36F77982C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47"/>
  <sheetViews>
    <sheetView tabSelected="1" workbookViewId="0">
      <selection activeCell="L46" sqref="L46"/>
    </sheetView>
  </sheetViews>
  <sheetFormatPr baseColWidth="10" defaultRowHeight="16"/>
  <cols>
    <col min="2" max="2" width="25.83203125" bestFit="1" customWidth="1"/>
    <col min="3" max="3" width="8.5" bestFit="1" customWidth="1"/>
    <col min="4" max="5" width="7.1640625" bestFit="1" customWidth="1"/>
    <col min="6" max="6" width="19.1640625" bestFit="1" customWidth="1"/>
    <col min="7" max="7" width="16.33203125" bestFit="1" customWidth="1"/>
    <col min="8" max="8" width="13.33203125" bestFit="1" customWidth="1"/>
    <col min="17" max="17" width="14.1640625" customWidth="1"/>
    <col min="18" max="18" width="7.1640625" bestFit="1" customWidth="1"/>
    <col min="19" max="19" width="7.5" bestFit="1" customWidth="1"/>
    <col min="20" max="36" width="6.5" bestFit="1" customWidth="1"/>
    <col min="37" max="37" width="7.33203125" bestFit="1" customWidth="1"/>
  </cols>
  <sheetData>
    <row r="1" spans="1:41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3" t="s">
        <v>5</v>
      </c>
      <c r="G1" s="12" t="s">
        <v>6</v>
      </c>
      <c r="H1" s="12" t="s">
        <v>7</v>
      </c>
      <c r="Q1" s="18" t="s">
        <v>8</v>
      </c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</row>
    <row r="2" spans="1:41">
      <c r="A2">
        <v>1</v>
      </c>
      <c r="B2">
        <v>10</v>
      </c>
      <c r="C2" s="3">
        <v>0.38092269326683198</v>
      </c>
      <c r="D2" s="8">
        <v>0.66741916690940795</v>
      </c>
      <c r="E2" s="3">
        <v>0.48502328535139699</v>
      </c>
      <c r="F2" s="14">
        <v>0.71910159179931599</v>
      </c>
      <c r="G2" s="8">
        <v>0.676085056801631</v>
      </c>
      <c r="H2" s="3">
        <v>0.69693017923487899</v>
      </c>
      <c r="I2" s="1"/>
      <c r="M2" s="3"/>
      <c r="N2" s="3"/>
      <c r="O2" s="3"/>
      <c r="P2" s="3"/>
      <c r="Q2" s="3"/>
    </row>
    <row r="3" spans="1:41">
      <c r="A3">
        <v>5</v>
      </c>
      <c r="B3">
        <v>10</v>
      </c>
      <c r="C3" s="3">
        <v>0.89578828133044996</v>
      </c>
      <c r="D3" s="3">
        <v>0.63348383338188097</v>
      </c>
      <c r="E3" s="3">
        <v>0.74214051102674505</v>
      </c>
      <c r="F3" s="14">
        <v>0.93324418843859203</v>
      </c>
      <c r="G3" s="3">
        <v>0.64397028837751202</v>
      </c>
      <c r="H3" s="3">
        <v>0.76207965116910203</v>
      </c>
      <c r="I3" s="1"/>
      <c r="M3" s="3"/>
      <c r="N3" s="3"/>
      <c r="O3" s="3"/>
      <c r="P3" s="3"/>
      <c r="Q3" s="5" t="s">
        <v>9</v>
      </c>
      <c r="R3" s="6">
        <v>0.05</v>
      </c>
      <c r="S3" s="6">
        <v>0.1</v>
      </c>
      <c r="T3" s="6">
        <v>0.15</v>
      </c>
      <c r="U3" s="6">
        <v>0.2</v>
      </c>
      <c r="V3" s="6">
        <v>0.25</v>
      </c>
      <c r="W3" s="6">
        <v>0.3</v>
      </c>
      <c r="X3" s="6">
        <v>0.35</v>
      </c>
      <c r="Y3" s="6">
        <v>0.4</v>
      </c>
      <c r="Z3" s="6">
        <v>0.45</v>
      </c>
      <c r="AA3" s="6">
        <v>0.5</v>
      </c>
      <c r="AB3" s="6">
        <v>0.55000000000000004</v>
      </c>
      <c r="AC3" s="6">
        <v>0.6</v>
      </c>
      <c r="AD3" s="6">
        <v>0.65</v>
      </c>
      <c r="AE3" s="6">
        <v>0.7</v>
      </c>
      <c r="AF3" s="6">
        <v>0.75</v>
      </c>
      <c r="AG3" s="6">
        <v>0.8</v>
      </c>
      <c r="AH3" s="6">
        <v>0.85</v>
      </c>
      <c r="AI3" s="6">
        <v>0.9</v>
      </c>
      <c r="AJ3" s="6">
        <v>0.95</v>
      </c>
      <c r="AK3" s="6">
        <v>1</v>
      </c>
    </row>
    <row r="4" spans="1:41">
      <c r="A4">
        <v>10</v>
      </c>
      <c r="B4">
        <v>10</v>
      </c>
      <c r="C4" s="3">
        <v>0.94362055740219897</v>
      </c>
      <c r="D4" s="3">
        <v>0.53750364113020599</v>
      </c>
      <c r="E4" s="3">
        <v>0.68488447619931303</v>
      </c>
      <c r="F4" s="17">
        <v>0.95784902286371099</v>
      </c>
      <c r="G4" s="3">
        <v>0.54529565977279304</v>
      </c>
      <c r="H4" s="3">
        <v>0.69495760576960997</v>
      </c>
      <c r="I4" s="1"/>
      <c r="M4" s="3"/>
      <c r="N4" s="3"/>
      <c r="O4" s="3"/>
      <c r="P4" s="3"/>
      <c r="Q4" s="4">
        <v>0</v>
      </c>
      <c r="R4" s="2">
        <f>(2*$Q4*R$3)/($Q4+R$3)*100</f>
        <v>0</v>
      </c>
      <c r="S4" s="2">
        <f t="shared" ref="S4:AB13" si="0">(2*$Q4*S$3)/($Q4+S$3)</f>
        <v>0</v>
      </c>
      <c r="T4" s="2">
        <f t="shared" si="0"/>
        <v>0</v>
      </c>
      <c r="U4" s="2">
        <f t="shared" si="0"/>
        <v>0</v>
      </c>
      <c r="V4" s="2">
        <f t="shared" si="0"/>
        <v>0</v>
      </c>
      <c r="W4" s="2">
        <f t="shared" si="0"/>
        <v>0</v>
      </c>
      <c r="X4" s="2">
        <f t="shared" si="0"/>
        <v>0</v>
      </c>
      <c r="Y4" s="2">
        <f t="shared" si="0"/>
        <v>0</v>
      </c>
      <c r="Z4" s="2">
        <f t="shared" si="0"/>
        <v>0</v>
      </c>
      <c r="AA4" s="2">
        <f t="shared" si="0"/>
        <v>0</v>
      </c>
      <c r="AB4" s="2">
        <f t="shared" si="0"/>
        <v>0</v>
      </c>
      <c r="AC4" s="2">
        <f t="shared" ref="AC4:AK13" si="1">(2*$Q4*AC$3)/($Q4+AC$3)</f>
        <v>0</v>
      </c>
      <c r="AD4" s="2">
        <f t="shared" si="1"/>
        <v>0</v>
      </c>
      <c r="AE4" s="2">
        <f t="shared" si="1"/>
        <v>0</v>
      </c>
      <c r="AF4" s="2">
        <f t="shared" si="1"/>
        <v>0</v>
      </c>
      <c r="AG4" s="2">
        <f t="shared" si="1"/>
        <v>0</v>
      </c>
      <c r="AH4" s="2">
        <f t="shared" si="1"/>
        <v>0</v>
      </c>
      <c r="AI4" s="2">
        <f t="shared" si="1"/>
        <v>0</v>
      </c>
      <c r="AJ4" s="2">
        <f t="shared" si="1"/>
        <v>0</v>
      </c>
      <c r="AK4" s="2">
        <f t="shared" si="1"/>
        <v>0</v>
      </c>
    </row>
    <row r="5" spans="1:41">
      <c r="A5">
        <v>1</v>
      </c>
      <c r="B5">
        <v>50</v>
      </c>
      <c r="C5" s="3">
        <v>0.48785706643842902</v>
      </c>
      <c r="D5" s="3">
        <v>0.66414214972327401</v>
      </c>
      <c r="E5" s="3">
        <v>0.56251156479368403</v>
      </c>
      <c r="F5" s="14">
        <v>0.67766076869620995</v>
      </c>
      <c r="G5" s="3">
        <v>0.67528400815613099</v>
      </c>
      <c r="H5" s="3">
        <v>0.67647030076126302</v>
      </c>
      <c r="I5" s="1"/>
      <c r="M5" s="3"/>
      <c r="N5" s="3"/>
      <c r="O5" s="3"/>
      <c r="P5" s="3"/>
      <c r="Q5" s="4">
        <v>0.05</v>
      </c>
      <c r="R5" s="2">
        <f t="shared" ref="R5:R24" si="2">(2*$Q5*R$3)/($Q5+R$3)</f>
        <v>5.000000000000001E-2</v>
      </c>
      <c r="S5" s="2">
        <f t="shared" si="0"/>
        <v>6.6666666666666666E-2</v>
      </c>
      <c r="T5" s="2">
        <f t="shared" si="0"/>
        <v>7.4999999999999997E-2</v>
      </c>
      <c r="U5" s="2">
        <f t="shared" si="0"/>
        <v>8.0000000000000016E-2</v>
      </c>
      <c r="V5" s="2">
        <f t="shared" si="0"/>
        <v>8.3333333333333343E-2</v>
      </c>
      <c r="W5" s="2">
        <f t="shared" si="0"/>
        <v>8.5714285714285715E-2</v>
      </c>
      <c r="X5" s="2">
        <f t="shared" si="0"/>
        <v>8.7499999999999994E-2</v>
      </c>
      <c r="Y5" s="2">
        <f t="shared" si="0"/>
        <v>8.8888888888888906E-2</v>
      </c>
      <c r="Z5" s="2">
        <f t="shared" si="0"/>
        <v>9.0000000000000011E-2</v>
      </c>
      <c r="AA5" s="2">
        <f t="shared" si="0"/>
        <v>9.0909090909090912E-2</v>
      </c>
      <c r="AB5" s="2">
        <f t="shared" si="0"/>
        <v>9.166666666666666E-2</v>
      </c>
      <c r="AC5" s="2">
        <f t="shared" si="1"/>
        <v>9.2307692307692299E-2</v>
      </c>
      <c r="AD5" s="2">
        <f t="shared" si="1"/>
        <v>9.2857142857142846E-2</v>
      </c>
      <c r="AE5" s="2">
        <f t="shared" si="1"/>
        <v>9.3333333333333324E-2</v>
      </c>
      <c r="AF5" s="2">
        <f t="shared" si="1"/>
        <v>9.3750000000000014E-2</v>
      </c>
      <c r="AG5" s="2">
        <f t="shared" si="1"/>
        <v>9.4117647058823542E-2</v>
      </c>
      <c r="AH5" s="2">
        <f t="shared" si="1"/>
        <v>9.4444444444444442E-2</v>
      </c>
      <c r="AI5" s="2">
        <f t="shared" si="1"/>
        <v>9.4736842105263161E-2</v>
      </c>
      <c r="AJ5" s="2">
        <f t="shared" si="1"/>
        <v>9.5000000000000001E-2</v>
      </c>
      <c r="AK5" s="2">
        <f t="shared" si="1"/>
        <v>9.5238095238095233E-2</v>
      </c>
    </row>
    <row r="6" spans="1:41">
      <c r="A6" s="10">
        <v>5</v>
      </c>
      <c r="B6" s="10">
        <v>50</v>
      </c>
      <c r="C6" s="3">
        <v>0.90090646889163495</v>
      </c>
      <c r="D6" s="3">
        <v>0.63690649577628899</v>
      </c>
      <c r="E6" s="3">
        <v>0.74624573378839498</v>
      </c>
      <c r="F6" s="15">
        <v>0.92879925918304296</v>
      </c>
      <c r="G6" s="16">
        <v>0.64790270900087299</v>
      </c>
      <c r="H6" s="9">
        <v>0.76332949192146105</v>
      </c>
      <c r="I6" s="1"/>
      <c r="M6" s="3"/>
      <c r="N6" s="3"/>
      <c r="O6" s="3"/>
      <c r="P6" s="3"/>
      <c r="Q6" s="4">
        <v>0.1</v>
      </c>
      <c r="R6" s="2">
        <f t="shared" si="2"/>
        <v>6.6666666666666666E-2</v>
      </c>
      <c r="S6" s="2">
        <f t="shared" si="0"/>
        <v>0.10000000000000002</v>
      </c>
      <c r="T6" s="2">
        <f t="shared" si="0"/>
        <v>0.12</v>
      </c>
      <c r="U6" s="2">
        <f t="shared" si="0"/>
        <v>0.13333333333333333</v>
      </c>
      <c r="V6" s="2">
        <f t="shared" si="0"/>
        <v>0.14285714285714288</v>
      </c>
      <c r="W6" s="2">
        <f t="shared" si="0"/>
        <v>0.15</v>
      </c>
      <c r="X6" s="2">
        <f t="shared" si="0"/>
        <v>0.15555555555555556</v>
      </c>
      <c r="Y6" s="2">
        <f t="shared" si="0"/>
        <v>0.16000000000000003</v>
      </c>
      <c r="Z6" s="2">
        <f t="shared" si="0"/>
        <v>0.16363636363636364</v>
      </c>
      <c r="AA6" s="2">
        <f t="shared" si="0"/>
        <v>0.16666666666666669</v>
      </c>
      <c r="AB6" s="2">
        <f t="shared" si="0"/>
        <v>0.16923076923076924</v>
      </c>
      <c r="AC6" s="2">
        <f t="shared" si="1"/>
        <v>0.17142857142857143</v>
      </c>
      <c r="AD6" s="2">
        <f t="shared" si="1"/>
        <v>0.17333333333333334</v>
      </c>
      <c r="AE6" s="2">
        <f t="shared" si="1"/>
        <v>0.17499999999999999</v>
      </c>
      <c r="AF6" s="2">
        <f t="shared" si="1"/>
        <v>0.17647058823529416</v>
      </c>
      <c r="AG6" s="2">
        <f t="shared" si="1"/>
        <v>0.17777777777777781</v>
      </c>
      <c r="AH6" s="2">
        <f t="shared" si="1"/>
        <v>0.17894736842105266</v>
      </c>
      <c r="AI6" s="2">
        <f t="shared" si="1"/>
        <v>0.18000000000000002</v>
      </c>
      <c r="AJ6" s="2">
        <f t="shared" si="1"/>
        <v>0.18095238095238095</v>
      </c>
      <c r="AK6" s="2">
        <f t="shared" si="1"/>
        <v>0.18181818181818182</v>
      </c>
    </row>
    <row r="7" spans="1:41">
      <c r="A7">
        <v>10</v>
      </c>
      <c r="B7">
        <v>50</v>
      </c>
      <c r="C7" s="3">
        <v>0.94456872980362905</v>
      </c>
      <c r="D7" s="3">
        <v>0.55345179143606105</v>
      </c>
      <c r="E7" s="3">
        <v>0.69795206171365598</v>
      </c>
      <c r="F7" s="14">
        <v>0.95380029806259303</v>
      </c>
      <c r="G7" s="3">
        <v>0.56189921351587502</v>
      </c>
      <c r="H7" s="3">
        <v>0.70718454843921397</v>
      </c>
      <c r="I7" s="1"/>
      <c r="M7" s="3"/>
      <c r="N7" s="3"/>
      <c r="O7" s="3"/>
      <c r="P7" s="3"/>
      <c r="Q7" s="4">
        <v>0.15</v>
      </c>
      <c r="R7" s="2">
        <f t="shared" si="2"/>
        <v>7.4999999999999997E-2</v>
      </c>
      <c r="S7" s="2">
        <f t="shared" si="0"/>
        <v>0.12</v>
      </c>
      <c r="T7" s="2">
        <f t="shared" si="0"/>
        <v>0.15</v>
      </c>
      <c r="U7" s="2">
        <f t="shared" si="0"/>
        <v>0.17142857142857143</v>
      </c>
      <c r="V7" s="2">
        <f t="shared" si="0"/>
        <v>0.18749999999999997</v>
      </c>
      <c r="W7" s="2">
        <f t="shared" si="0"/>
        <v>0.2</v>
      </c>
      <c r="X7" s="2">
        <f t="shared" si="0"/>
        <v>0.21</v>
      </c>
      <c r="Y7" s="2">
        <f t="shared" si="0"/>
        <v>0.21818181818181814</v>
      </c>
      <c r="Z7" s="2">
        <f t="shared" si="0"/>
        <v>0.22500000000000003</v>
      </c>
      <c r="AA7" s="2">
        <f t="shared" si="0"/>
        <v>0.23076923076923075</v>
      </c>
      <c r="AB7" s="2">
        <f t="shared" si="0"/>
        <v>0.23571428571428571</v>
      </c>
      <c r="AC7" s="2">
        <f t="shared" si="1"/>
        <v>0.24</v>
      </c>
      <c r="AD7" s="2">
        <f t="shared" si="1"/>
        <v>0.24374999999999999</v>
      </c>
      <c r="AE7" s="2">
        <f t="shared" si="1"/>
        <v>0.24705882352941178</v>
      </c>
      <c r="AF7" s="2">
        <f t="shared" si="1"/>
        <v>0.24999999999999997</v>
      </c>
      <c r="AG7" s="2">
        <f t="shared" si="1"/>
        <v>0.25263157894736837</v>
      </c>
      <c r="AH7" s="2">
        <f t="shared" si="1"/>
        <v>0.255</v>
      </c>
      <c r="AI7" s="2">
        <f t="shared" si="1"/>
        <v>0.25714285714285717</v>
      </c>
      <c r="AJ7" s="2">
        <f t="shared" si="1"/>
        <v>0.25909090909090909</v>
      </c>
      <c r="AK7" s="2">
        <f t="shared" si="1"/>
        <v>0.2608695652173913</v>
      </c>
    </row>
    <row r="8" spans="1:41">
      <c r="A8">
        <v>1</v>
      </c>
      <c r="B8">
        <v>100</v>
      </c>
      <c r="C8" s="3">
        <v>0.55239193783389995</v>
      </c>
      <c r="D8" s="3">
        <v>0.66261287503641098</v>
      </c>
      <c r="E8" s="3">
        <v>0.602502979737783</v>
      </c>
      <c r="F8" s="14">
        <v>0.66328944973609105</v>
      </c>
      <c r="G8" s="3">
        <v>0.67455578211476797</v>
      </c>
      <c r="H8" s="3">
        <v>0.66887517761110005</v>
      </c>
      <c r="I8" s="1"/>
      <c r="M8" s="3"/>
      <c r="N8" s="3"/>
      <c r="O8" s="3"/>
      <c r="P8" s="3"/>
      <c r="Q8" s="4">
        <v>0.2</v>
      </c>
      <c r="R8" s="2">
        <f t="shared" si="2"/>
        <v>8.0000000000000016E-2</v>
      </c>
      <c r="S8" s="2">
        <f t="shared" si="0"/>
        <v>0.13333333333333333</v>
      </c>
      <c r="T8" s="2">
        <f t="shared" si="0"/>
        <v>0.17142857142857143</v>
      </c>
      <c r="U8" s="2">
        <f t="shared" si="0"/>
        <v>0.20000000000000004</v>
      </c>
      <c r="V8" s="2">
        <f t="shared" si="0"/>
        <v>0.22222222222222224</v>
      </c>
      <c r="W8" s="2">
        <f t="shared" si="0"/>
        <v>0.24</v>
      </c>
      <c r="X8" s="2">
        <f t="shared" si="0"/>
        <v>0.25454545454545452</v>
      </c>
      <c r="Y8" s="2">
        <f t="shared" si="0"/>
        <v>0.26666666666666666</v>
      </c>
      <c r="Z8" s="2">
        <f t="shared" si="0"/>
        <v>0.27692307692307694</v>
      </c>
      <c r="AA8" s="2">
        <f t="shared" si="0"/>
        <v>0.28571428571428575</v>
      </c>
      <c r="AB8" s="2">
        <f t="shared" si="0"/>
        <v>0.29333333333333339</v>
      </c>
      <c r="AC8" s="2">
        <f t="shared" si="1"/>
        <v>0.3</v>
      </c>
      <c r="AD8" s="2">
        <f t="shared" si="1"/>
        <v>0.30588235294117644</v>
      </c>
      <c r="AE8" s="2">
        <f t="shared" si="1"/>
        <v>0.31111111111111112</v>
      </c>
      <c r="AF8" s="2">
        <f t="shared" si="1"/>
        <v>0.31578947368421056</v>
      </c>
      <c r="AG8" s="2">
        <f t="shared" si="1"/>
        <v>0.32000000000000006</v>
      </c>
      <c r="AH8" s="2">
        <f t="shared" si="1"/>
        <v>0.32380952380952382</v>
      </c>
      <c r="AI8" s="2">
        <f t="shared" si="1"/>
        <v>0.32727272727272727</v>
      </c>
      <c r="AJ8" s="2">
        <f t="shared" si="1"/>
        <v>0.33043478260869569</v>
      </c>
      <c r="AK8" s="2">
        <f t="shared" si="1"/>
        <v>0.33333333333333337</v>
      </c>
    </row>
    <row r="9" spans="1:41">
      <c r="A9">
        <v>5</v>
      </c>
      <c r="B9">
        <v>100</v>
      </c>
      <c r="C9" s="3">
        <v>0.90398102310230999</v>
      </c>
      <c r="D9" s="3">
        <v>0.63829012525487905</v>
      </c>
      <c r="E9" s="3">
        <v>0.74824995731603205</v>
      </c>
      <c r="F9" s="14">
        <v>0.92417061611374396</v>
      </c>
      <c r="G9" s="3">
        <v>0.64979609670841798</v>
      </c>
      <c r="H9" s="3">
        <v>0.76306881734058096</v>
      </c>
      <c r="I9" s="1"/>
      <c r="M9" s="3"/>
      <c r="N9" s="3"/>
      <c r="O9" s="3"/>
      <c r="P9" s="3"/>
      <c r="Q9" s="4">
        <v>0.25</v>
      </c>
      <c r="R9" s="2">
        <f t="shared" si="2"/>
        <v>8.3333333333333343E-2</v>
      </c>
      <c r="S9" s="2">
        <f t="shared" si="0"/>
        <v>0.14285714285714288</v>
      </c>
      <c r="T9" s="2">
        <f t="shared" si="0"/>
        <v>0.18749999999999997</v>
      </c>
      <c r="U9" s="2">
        <f t="shared" si="0"/>
        <v>0.22222222222222224</v>
      </c>
      <c r="V9" s="2">
        <f t="shared" si="0"/>
        <v>0.25</v>
      </c>
      <c r="W9" s="2">
        <f t="shared" si="0"/>
        <v>0.27272727272727271</v>
      </c>
      <c r="X9" s="2">
        <f t="shared" si="0"/>
        <v>0.29166666666666669</v>
      </c>
      <c r="Y9" s="2">
        <f t="shared" si="0"/>
        <v>0.30769230769230771</v>
      </c>
      <c r="Z9" s="2">
        <f t="shared" si="0"/>
        <v>0.32142857142857145</v>
      </c>
      <c r="AA9" s="2">
        <f t="shared" si="0"/>
        <v>0.33333333333333331</v>
      </c>
      <c r="AB9" s="2">
        <f t="shared" si="0"/>
        <v>0.34375</v>
      </c>
      <c r="AC9" s="2">
        <f t="shared" si="1"/>
        <v>0.35294117647058826</v>
      </c>
      <c r="AD9" s="2">
        <f t="shared" si="1"/>
        <v>0.3611111111111111</v>
      </c>
      <c r="AE9" s="2">
        <f t="shared" si="1"/>
        <v>0.36842105263157893</v>
      </c>
      <c r="AF9" s="2">
        <f t="shared" si="1"/>
        <v>0.375</v>
      </c>
      <c r="AG9" s="2">
        <f t="shared" si="1"/>
        <v>0.38095238095238093</v>
      </c>
      <c r="AH9" s="2">
        <f t="shared" si="1"/>
        <v>0.3863636363636363</v>
      </c>
      <c r="AI9" s="2">
        <f t="shared" si="1"/>
        <v>0.39130434782608697</v>
      </c>
      <c r="AJ9" s="2">
        <f t="shared" si="1"/>
        <v>0.39583333333333331</v>
      </c>
      <c r="AK9" s="2">
        <f t="shared" si="1"/>
        <v>0.4</v>
      </c>
      <c r="AL9" s="4"/>
      <c r="AM9" s="4"/>
      <c r="AN9" s="4"/>
      <c r="AO9" s="4"/>
    </row>
    <row r="10" spans="1:41">
      <c r="A10">
        <v>10</v>
      </c>
      <c r="B10">
        <v>100</v>
      </c>
      <c r="C10" s="8">
        <v>0.94550810014727504</v>
      </c>
      <c r="D10" s="3">
        <v>0.56102534226623901</v>
      </c>
      <c r="E10" s="3">
        <v>0.70420475319926801</v>
      </c>
      <c r="F10" s="14">
        <v>0.95045376502330103</v>
      </c>
      <c r="G10" s="3">
        <v>0.56998252257500703</v>
      </c>
      <c r="H10" s="3">
        <v>0.71261392403970203</v>
      </c>
      <c r="I10" s="1"/>
      <c r="M10" s="3"/>
      <c r="N10" s="3"/>
      <c r="O10" s="3"/>
      <c r="P10" s="3"/>
      <c r="Q10" s="4">
        <v>0.3</v>
      </c>
      <c r="R10" s="2">
        <f t="shared" si="2"/>
        <v>8.5714285714285715E-2</v>
      </c>
      <c r="S10" s="2">
        <f t="shared" si="0"/>
        <v>0.15</v>
      </c>
      <c r="T10" s="2">
        <f t="shared" si="0"/>
        <v>0.2</v>
      </c>
      <c r="U10" s="2">
        <f t="shared" si="0"/>
        <v>0.24</v>
      </c>
      <c r="V10" s="2">
        <f t="shared" si="0"/>
        <v>0.27272727272727271</v>
      </c>
      <c r="W10" s="2">
        <f t="shared" si="0"/>
        <v>0.3</v>
      </c>
      <c r="X10" s="2">
        <f t="shared" si="0"/>
        <v>0.32307692307692309</v>
      </c>
      <c r="Y10" s="2">
        <f t="shared" si="0"/>
        <v>0.34285714285714286</v>
      </c>
      <c r="Z10" s="2">
        <f t="shared" si="0"/>
        <v>0.36000000000000004</v>
      </c>
      <c r="AA10" s="2">
        <f t="shared" si="0"/>
        <v>0.37499999999999994</v>
      </c>
      <c r="AB10" s="2">
        <f t="shared" si="0"/>
        <v>0.38823529411764701</v>
      </c>
      <c r="AC10" s="2">
        <f t="shared" si="1"/>
        <v>0.4</v>
      </c>
      <c r="AD10" s="2">
        <f t="shared" si="1"/>
        <v>0.41052631578947374</v>
      </c>
      <c r="AE10" s="2">
        <f t="shared" si="1"/>
        <v>0.42</v>
      </c>
      <c r="AF10" s="2">
        <f t="shared" si="1"/>
        <v>0.42857142857142849</v>
      </c>
      <c r="AG10" s="2">
        <f t="shared" si="1"/>
        <v>0.43636363636363629</v>
      </c>
      <c r="AH10" s="2">
        <f t="shared" si="1"/>
        <v>0.44347826086956527</v>
      </c>
      <c r="AI10" s="2">
        <f t="shared" si="1"/>
        <v>0.45000000000000007</v>
      </c>
      <c r="AJ10" s="2">
        <f t="shared" si="1"/>
        <v>0.45599999999999996</v>
      </c>
      <c r="AK10" s="2">
        <f t="shared" si="1"/>
        <v>0.46153846153846151</v>
      </c>
    </row>
    <row r="11" spans="1:41">
      <c r="A11">
        <v>1</v>
      </c>
      <c r="B11">
        <v>150</v>
      </c>
      <c r="C11" s="3">
        <v>0.57837769005475603</v>
      </c>
      <c r="D11" s="3">
        <v>0.661520535974366</v>
      </c>
      <c r="E11" s="3">
        <v>0.61716149194918102</v>
      </c>
      <c r="F11" s="14">
        <v>0.66547838818511595</v>
      </c>
      <c r="G11" s="3">
        <v>0.67375473346926795</v>
      </c>
      <c r="H11" s="3">
        <v>0.66959098727686905</v>
      </c>
      <c r="I11" s="1"/>
      <c r="M11" s="3"/>
      <c r="N11" s="3"/>
      <c r="O11" s="3"/>
      <c r="P11" s="3"/>
      <c r="Q11" s="4">
        <v>0.35</v>
      </c>
      <c r="R11" s="2">
        <f t="shared" si="2"/>
        <v>8.7499999999999994E-2</v>
      </c>
      <c r="S11" s="2">
        <f t="shared" si="0"/>
        <v>0.15555555555555556</v>
      </c>
      <c r="T11" s="2">
        <f t="shared" si="0"/>
        <v>0.21</v>
      </c>
      <c r="U11" s="2">
        <f t="shared" si="0"/>
        <v>0.25454545454545452</v>
      </c>
      <c r="V11" s="2">
        <f t="shared" si="0"/>
        <v>0.29166666666666669</v>
      </c>
      <c r="W11" s="2">
        <f t="shared" si="0"/>
        <v>0.32307692307692309</v>
      </c>
      <c r="X11" s="2">
        <f t="shared" si="0"/>
        <v>0.35</v>
      </c>
      <c r="Y11" s="2">
        <f t="shared" si="0"/>
        <v>0.37333333333333329</v>
      </c>
      <c r="Z11" s="2">
        <f t="shared" si="0"/>
        <v>0.39374999999999999</v>
      </c>
      <c r="AA11" s="2">
        <f t="shared" si="0"/>
        <v>0.41176470588235292</v>
      </c>
      <c r="AB11" s="2">
        <f t="shared" si="0"/>
        <v>0.42777777777777776</v>
      </c>
      <c r="AC11" s="2">
        <f t="shared" si="1"/>
        <v>0.44210526315789472</v>
      </c>
      <c r="AD11" s="2">
        <f t="shared" si="1"/>
        <v>0.45499999999999996</v>
      </c>
      <c r="AE11" s="2">
        <f t="shared" si="1"/>
        <v>0.46666666666666667</v>
      </c>
      <c r="AF11" s="2">
        <f t="shared" si="1"/>
        <v>0.47727272727272713</v>
      </c>
      <c r="AG11" s="2">
        <f t="shared" si="1"/>
        <v>0.4869565217391304</v>
      </c>
      <c r="AH11" s="2">
        <f t="shared" si="1"/>
        <v>0.49583333333333335</v>
      </c>
      <c r="AI11" s="2">
        <f t="shared" si="1"/>
        <v>0.504</v>
      </c>
      <c r="AJ11" s="2">
        <f t="shared" si="1"/>
        <v>0.5115384615384615</v>
      </c>
      <c r="AK11" s="2">
        <f t="shared" si="1"/>
        <v>0.51851851851851849</v>
      </c>
    </row>
    <row r="12" spans="1:41">
      <c r="A12" s="10">
        <v>5</v>
      </c>
      <c r="B12" s="10">
        <v>150</v>
      </c>
      <c r="C12" s="11">
        <v>0.90808290155440397</v>
      </c>
      <c r="D12" s="11">
        <v>0.63814448004660596</v>
      </c>
      <c r="E12" s="9">
        <v>0.74955093661791095</v>
      </c>
      <c r="F12" s="14">
        <v>0.92334783509426099</v>
      </c>
      <c r="G12" s="3">
        <v>0.64957762889600901</v>
      </c>
      <c r="H12" s="3">
        <v>0.76263765969587405</v>
      </c>
      <c r="I12" s="1"/>
      <c r="M12" s="3"/>
      <c r="N12" s="3"/>
      <c r="O12" s="3"/>
      <c r="P12" s="3"/>
      <c r="Q12" s="4">
        <v>0.4</v>
      </c>
      <c r="R12" s="2">
        <f t="shared" si="2"/>
        <v>8.8888888888888906E-2</v>
      </c>
      <c r="S12" s="2">
        <f t="shared" si="0"/>
        <v>0.16000000000000003</v>
      </c>
      <c r="T12" s="2">
        <f t="shared" si="0"/>
        <v>0.21818181818181814</v>
      </c>
      <c r="U12" s="2">
        <f t="shared" si="0"/>
        <v>0.26666666666666666</v>
      </c>
      <c r="V12" s="2">
        <f t="shared" si="0"/>
        <v>0.30769230769230771</v>
      </c>
      <c r="W12" s="2">
        <f t="shared" si="0"/>
        <v>0.34285714285714286</v>
      </c>
      <c r="X12" s="2">
        <f t="shared" si="0"/>
        <v>0.37333333333333329</v>
      </c>
      <c r="Y12" s="2">
        <f t="shared" si="0"/>
        <v>0.40000000000000008</v>
      </c>
      <c r="Z12" s="2">
        <f t="shared" si="0"/>
        <v>0.42352941176470588</v>
      </c>
      <c r="AA12" s="2">
        <f t="shared" si="0"/>
        <v>0.44444444444444448</v>
      </c>
      <c r="AB12" s="2">
        <f t="shared" si="0"/>
        <v>0.46315789473684216</v>
      </c>
      <c r="AC12" s="2">
        <f t="shared" si="1"/>
        <v>0.48</v>
      </c>
      <c r="AD12" s="2">
        <f t="shared" si="1"/>
        <v>0.49523809523809526</v>
      </c>
      <c r="AE12" s="2">
        <f t="shared" si="1"/>
        <v>0.50909090909090904</v>
      </c>
      <c r="AF12" s="2">
        <f t="shared" si="1"/>
        <v>0.52173913043478271</v>
      </c>
      <c r="AG12" s="2">
        <f t="shared" si="1"/>
        <v>0.53333333333333333</v>
      </c>
      <c r="AH12" s="2">
        <f t="shared" si="1"/>
        <v>0.54400000000000004</v>
      </c>
      <c r="AI12" s="2">
        <f t="shared" si="1"/>
        <v>0.55384615384615388</v>
      </c>
      <c r="AJ12" s="2">
        <f t="shared" si="1"/>
        <v>0.56296296296296289</v>
      </c>
      <c r="AK12" s="2">
        <f t="shared" si="1"/>
        <v>0.57142857142857151</v>
      </c>
    </row>
    <row r="13" spans="1:41">
      <c r="A13">
        <v>10</v>
      </c>
      <c r="B13">
        <v>150</v>
      </c>
      <c r="C13" s="3">
        <v>0.9451904296875</v>
      </c>
      <c r="D13" s="3">
        <v>0.563865423827556</v>
      </c>
      <c r="E13" s="3">
        <v>0.70634920634920595</v>
      </c>
      <c r="F13" s="14">
        <v>0.94875549048316199</v>
      </c>
      <c r="G13" s="3">
        <v>0.57274978153218703</v>
      </c>
      <c r="H13" s="3">
        <v>0.71429197111084597</v>
      </c>
      <c r="I13" s="1"/>
      <c r="M13" s="3"/>
      <c r="N13" s="3"/>
      <c r="O13" s="3"/>
      <c r="P13" s="3"/>
      <c r="Q13" s="4">
        <v>0.45</v>
      </c>
      <c r="R13" s="2">
        <f t="shared" si="2"/>
        <v>9.0000000000000011E-2</v>
      </c>
      <c r="S13" s="2">
        <f t="shared" si="0"/>
        <v>0.16363636363636364</v>
      </c>
      <c r="T13" s="2">
        <f t="shared" si="0"/>
        <v>0.22500000000000003</v>
      </c>
      <c r="U13" s="2">
        <f t="shared" si="0"/>
        <v>0.27692307692307694</v>
      </c>
      <c r="V13" s="2">
        <f t="shared" si="0"/>
        <v>0.32142857142857145</v>
      </c>
      <c r="W13" s="2">
        <f t="shared" si="0"/>
        <v>0.36000000000000004</v>
      </c>
      <c r="X13" s="2">
        <f t="shared" si="0"/>
        <v>0.39374999999999999</v>
      </c>
      <c r="Y13" s="2">
        <f t="shared" si="0"/>
        <v>0.42352941176470588</v>
      </c>
      <c r="Z13" s="2">
        <f t="shared" si="0"/>
        <v>0.45</v>
      </c>
      <c r="AA13" s="2">
        <f t="shared" si="0"/>
        <v>0.47368421052631582</v>
      </c>
      <c r="AB13" s="2">
        <f t="shared" si="0"/>
        <v>0.49500000000000005</v>
      </c>
      <c r="AC13" s="2">
        <f t="shared" si="1"/>
        <v>0.51428571428571435</v>
      </c>
      <c r="AD13" s="2">
        <f t="shared" si="1"/>
        <v>0.53181818181818186</v>
      </c>
      <c r="AE13" s="2">
        <f t="shared" si="1"/>
        <v>0.5478260869565218</v>
      </c>
      <c r="AF13" s="2">
        <f t="shared" si="1"/>
        <v>0.56250000000000011</v>
      </c>
      <c r="AG13" s="2">
        <f t="shared" si="1"/>
        <v>0.57600000000000007</v>
      </c>
      <c r="AH13" s="2">
        <f t="shared" si="1"/>
        <v>0.58846153846153848</v>
      </c>
      <c r="AI13" s="2">
        <f t="shared" si="1"/>
        <v>0.6</v>
      </c>
      <c r="AJ13" s="2">
        <f t="shared" si="1"/>
        <v>0.61071428571428577</v>
      </c>
      <c r="AK13" s="2">
        <f t="shared" si="1"/>
        <v>0.62068965517241381</v>
      </c>
    </row>
    <row r="14" spans="1:41">
      <c r="Q14" s="4">
        <v>0.5</v>
      </c>
      <c r="R14" s="2">
        <f t="shared" si="2"/>
        <v>9.0909090909090912E-2</v>
      </c>
      <c r="S14" s="2">
        <f t="shared" ref="S14:AB24" si="3">(2*$Q14*S$3)/($Q14+S$3)</f>
        <v>0.16666666666666669</v>
      </c>
      <c r="T14" s="2">
        <f t="shared" si="3"/>
        <v>0.23076923076923075</v>
      </c>
      <c r="U14" s="2">
        <f t="shared" si="3"/>
        <v>0.28571428571428575</v>
      </c>
      <c r="V14" s="2">
        <f t="shared" si="3"/>
        <v>0.33333333333333331</v>
      </c>
      <c r="W14" s="2">
        <f t="shared" si="3"/>
        <v>0.37499999999999994</v>
      </c>
      <c r="X14" s="2">
        <f t="shared" si="3"/>
        <v>0.41176470588235292</v>
      </c>
      <c r="Y14" s="2">
        <f t="shared" si="3"/>
        <v>0.44444444444444448</v>
      </c>
      <c r="Z14" s="2">
        <f t="shared" si="3"/>
        <v>0.47368421052631582</v>
      </c>
      <c r="AA14" s="2">
        <f t="shared" si="3"/>
        <v>0.5</v>
      </c>
      <c r="AB14" s="2">
        <f t="shared" si="3"/>
        <v>0.52380952380952384</v>
      </c>
      <c r="AC14" s="2">
        <f t="shared" ref="AC14:AK24" si="4">(2*$Q14*AC$3)/($Q14+AC$3)</f>
        <v>0.54545454545454541</v>
      </c>
      <c r="AD14" s="2">
        <f t="shared" si="4"/>
        <v>0.56521739130434789</v>
      </c>
      <c r="AE14" s="2">
        <f t="shared" si="4"/>
        <v>0.58333333333333337</v>
      </c>
      <c r="AF14" s="2">
        <f t="shared" si="4"/>
        <v>0.6</v>
      </c>
      <c r="AG14" s="2">
        <f t="shared" si="4"/>
        <v>0.61538461538461542</v>
      </c>
      <c r="AH14" s="2">
        <f t="shared" si="4"/>
        <v>0.62962962962962954</v>
      </c>
      <c r="AI14" s="2">
        <f t="shared" si="4"/>
        <v>0.6428571428571429</v>
      </c>
      <c r="AJ14" s="2">
        <f t="shared" si="4"/>
        <v>0.65517241379310343</v>
      </c>
      <c r="AK14" s="2">
        <f t="shared" si="4"/>
        <v>0.66666666666666663</v>
      </c>
    </row>
    <row r="15" spans="1:41">
      <c r="Q15" s="4">
        <v>0.55000000000000004</v>
      </c>
      <c r="R15" s="2">
        <f t="shared" si="2"/>
        <v>9.166666666666666E-2</v>
      </c>
      <c r="S15" s="2">
        <f t="shared" si="3"/>
        <v>0.16923076923076924</v>
      </c>
      <c r="T15" s="2">
        <f t="shared" si="3"/>
        <v>0.23571428571428571</v>
      </c>
      <c r="U15" s="2">
        <f t="shared" si="3"/>
        <v>0.29333333333333339</v>
      </c>
      <c r="V15" s="2">
        <f t="shared" si="3"/>
        <v>0.34375</v>
      </c>
      <c r="W15" s="2">
        <f t="shared" si="3"/>
        <v>0.38823529411764701</v>
      </c>
      <c r="X15" s="2">
        <f t="shared" si="3"/>
        <v>0.42777777777777776</v>
      </c>
      <c r="Y15" s="2">
        <f t="shared" si="3"/>
        <v>0.46315789473684216</v>
      </c>
      <c r="Z15" s="2">
        <f t="shared" si="3"/>
        <v>0.49500000000000005</v>
      </c>
      <c r="AA15" s="2">
        <f t="shared" si="3"/>
        <v>0.52380952380952384</v>
      </c>
      <c r="AB15" s="2">
        <f t="shared" si="3"/>
        <v>0.55000000000000004</v>
      </c>
      <c r="AC15" s="2">
        <f t="shared" si="4"/>
        <v>0.57391304347826089</v>
      </c>
      <c r="AD15" s="2">
        <f t="shared" si="4"/>
        <v>0.59583333333333333</v>
      </c>
      <c r="AE15" s="2">
        <f t="shared" si="4"/>
        <v>0.61599999999999999</v>
      </c>
      <c r="AF15" s="2">
        <f t="shared" si="4"/>
        <v>0.63461538461538469</v>
      </c>
      <c r="AG15" s="2">
        <f t="shared" si="4"/>
        <v>0.6518518518518519</v>
      </c>
      <c r="AH15" s="2">
        <f t="shared" si="4"/>
        <v>0.66785714285714293</v>
      </c>
      <c r="AI15" s="2">
        <f t="shared" si="4"/>
        <v>0.6827586206896552</v>
      </c>
      <c r="AJ15" s="2">
        <f t="shared" si="4"/>
        <v>0.69666666666666666</v>
      </c>
      <c r="AK15" s="2">
        <f t="shared" si="4"/>
        <v>0.70967741935483875</v>
      </c>
    </row>
    <row r="16" spans="1:41">
      <c r="Q16" s="4">
        <v>0.6</v>
      </c>
      <c r="R16" s="2">
        <f t="shared" si="2"/>
        <v>9.2307692307692299E-2</v>
      </c>
      <c r="S16" s="2">
        <f t="shared" si="3"/>
        <v>0.17142857142857143</v>
      </c>
      <c r="T16" s="2">
        <f t="shared" si="3"/>
        <v>0.24</v>
      </c>
      <c r="U16" s="2">
        <f t="shared" si="3"/>
        <v>0.3</v>
      </c>
      <c r="V16" s="2">
        <f t="shared" si="3"/>
        <v>0.35294117647058826</v>
      </c>
      <c r="W16" s="2">
        <f t="shared" si="3"/>
        <v>0.4</v>
      </c>
      <c r="X16" s="2">
        <f t="shared" si="3"/>
        <v>0.44210526315789472</v>
      </c>
      <c r="Y16" s="2">
        <f t="shared" si="3"/>
        <v>0.48</v>
      </c>
      <c r="Z16" s="2">
        <f t="shared" si="3"/>
        <v>0.51428571428571435</v>
      </c>
      <c r="AA16" s="2">
        <f t="shared" si="3"/>
        <v>0.54545454545454541</v>
      </c>
      <c r="AB16" s="2">
        <f t="shared" si="3"/>
        <v>0.57391304347826089</v>
      </c>
      <c r="AC16" s="2">
        <f t="shared" si="4"/>
        <v>0.6</v>
      </c>
      <c r="AD16" s="2">
        <f t="shared" si="4"/>
        <v>0.624</v>
      </c>
      <c r="AE16" s="2">
        <f t="shared" si="4"/>
        <v>0.64615384615384619</v>
      </c>
      <c r="AF16" s="2">
        <f t="shared" si="4"/>
        <v>0.66666666666666652</v>
      </c>
      <c r="AG16" s="2">
        <f t="shared" si="4"/>
        <v>0.68571428571428572</v>
      </c>
      <c r="AH16" s="2">
        <f t="shared" si="4"/>
        <v>0.70344827586206904</v>
      </c>
      <c r="AI16" s="2">
        <f t="shared" si="4"/>
        <v>0.72000000000000008</v>
      </c>
      <c r="AJ16" s="2">
        <f t="shared" si="4"/>
        <v>0.73548387096774193</v>
      </c>
      <c r="AK16" s="2">
        <f t="shared" si="4"/>
        <v>0.74999999999999989</v>
      </c>
    </row>
    <row r="17" spans="17:37">
      <c r="Q17" s="4">
        <v>0.65</v>
      </c>
      <c r="R17" s="2">
        <f t="shared" si="2"/>
        <v>9.2857142857142846E-2</v>
      </c>
      <c r="S17" s="2">
        <f t="shared" si="3"/>
        <v>0.17333333333333334</v>
      </c>
      <c r="T17" s="2">
        <f t="shared" si="3"/>
        <v>0.24374999999999999</v>
      </c>
      <c r="U17" s="2">
        <f t="shared" si="3"/>
        <v>0.30588235294117644</v>
      </c>
      <c r="V17" s="2">
        <f t="shared" si="3"/>
        <v>0.3611111111111111</v>
      </c>
      <c r="W17" s="2">
        <f t="shared" si="3"/>
        <v>0.41052631578947374</v>
      </c>
      <c r="X17" s="2">
        <f t="shared" si="3"/>
        <v>0.45499999999999996</v>
      </c>
      <c r="Y17" s="2">
        <f t="shared" si="3"/>
        <v>0.49523809523809526</v>
      </c>
      <c r="Z17" s="2">
        <f t="shared" si="3"/>
        <v>0.53181818181818186</v>
      </c>
      <c r="AA17" s="2">
        <f t="shared" si="3"/>
        <v>0.56521739130434789</v>
      </c>
      <c r="AB17" s="2">
        <f t="shared" si="3"/>
        <v>0.59583333333333333</v>
      </c>
      <c r="AC17" s="2">
        <f t="shared" si="4"/>
        <v>0.624</v>
      </c>
      <c r="AD17" s="2">
        <f t="shared" si="4"/>
        <v>0.65</v>
      </c>
      <c r="AE17" s="2">
        <f t="shared" si="4"/>
        <v>0.67407407407407394</v>
      </c>
      <c r="AF17" s="2">
        <f t="shared" si="4"/>
        <v>0.69642857142857151</v>
      </c>
      <c r="AG17" s="2">
        <f t="shared" si="4"/>
        <v>0.71724137931034482</v>
      </c>
      <c r="AH17" s="2">
        <f t="shared" si="4"/>
        <v>0.73666666666666669</v>
      </c>
      <c r="AI17" s="2">
        <f t="shared" si="4"/>
        <v>0.75483870967741939</v>
      </c>
      <c r="AJ17" s="2">
        <f t="shared" si="4"/>
        <v>0.77187499999999987</v>
      </c>
      <c r="AK17" s="2">
        <f t="shared" si="4"/>
        <v>0.78787878787878796</v>
      </c>
    </row>
    <row r="18" spans="17:37">
      <c r="Q18" s="4">
        <v>0.7</v>
      </c>
      <c r="R18" s="2">
        <f t="shared" si="2"/>
        <v>9.3333333333333324E-2</v>
      </c>
      <c r="S18" s="2">
        <f t="shared" si="3"/>
        <v>0.17499999999999999</v>
      </c>
      <c r="T18" s="2">
        <f t="shared" si="3"/>
        <v>0.24705882352941178</v>
      </c>
      <c r="U18" s="2">
        <f t="shared" si="3"/>
        <v>0.31111111111111112</v>
      </c>
      <c r="V18" s="2">
        <f t="shared" si="3"/>
        <v>0.36842105263157893</v>
      </c>
      <c r="W18" s="2">
        <f t="shared" si="3"/>
        <v>0.42</v>
      </c>
      <c r="X18" s="2">
        <f t="shared" si="3"/>
        <v>0.46666666666666667</v>
      </c>
      <c r="Y18" s="2">
        <f t="shared" si="3"/>
        <v>0.50909090909090904</v>
      </c>
      <c r="Z18" s="2">
        <f t="shared" si="3"/>
        <v>0.5478260869565218</v>
      </c>
      <c r="AA18" s="2">
        <f t="shared" si="3"/>
        <v>0.58333333333333337</v>
      </c>
      <c r="AB18" s="2">
        <f t="shared" si="3"/>
        <v>0.61599999999999999</v>
      </c>
      <c r="AC18" s="2">
        <f t="shared" si="4"/>
        <v>0.64615384615384619</v>
      </c>
      <c r="AD18" s="2">
        <f t="shared" si="4"/>
        <v>0.67407407407407394</v>
      </c>
      <c r="AE18" s="2">
        <f t="shared" si="4"/>
        <v>0.7</v>
      </c>
      <c r="AF18" s="2">
        <f t="shared" si="4"/>
        <v>0.72413793103448265</v>
      </c>
      <c r="AG18" s="2">
        <f t="shared" si="4"/>
        <v>0.74666666666666659</v>
      </c>
      <c r="AH18" s="2">
        <f t="shared" si="4"/>
        <v>0.76774193548387104</v>
      </c>
      <c r="AI18" s="2">
        <f t="shared" si="4"/>
        <v>0.78749999999999998</v>
      </c>
      <c r="AJ18" s="2">
        <f t="shared" si="4"/>
        <v>0.80606060606060603</v>
      </c>
      <c r="AK18" s="2">
        <f t="shared" si="4"/>
        <v>0.82352941176470584</v>
      </c>
    </row>
    <row r="19" spans="17:37">
      <c r="Q19" s="4">
        <v>0.75</v>
      </c>
      <c r="R19" s="2">
        <f t="shared" si="2"/>
        <v>9.3750000000000014E-2</v>
      </c>
      <c r="S19" s="2">
        <f t="shared" si="3"/>
        <v>0.17647058823529416</v>
      </c>
      <c r="T19" s="2">
        <f t="shared" si="3"/>
        <v>0.24999999999999997</v>
      </c>
      <c r="U19" s="2">
        <f t="shared" si="3"/>
        <v>0.31578947368421056</v>
      </c>
      <c r="V19" s="2">
        <f t="shared" si="3"/>
        <v>0.375</v>
      </c>
      <c r="W19" s="2">
        <f t="shared" si="3"/>
        <v>0.42857142857142849</v>
      </c>
      <c r="X19" s="2">
        <f t="shared" si="3"/>
        <v>0.47727272727272713</v>
      </c>
      <c r="Y19" s="2">
        <f t="shared" si="3"/>
        <v>0.52173913043478271</v>
      </c>
      <c r="Z19" s="2">
        <f t="shared" si="3"/>
        <v>0.56250000000000011</v>
      </c>
      <c r="AA19" s="2">
        <f t="shared" si="3"/>
        <v>0.6</v>
      </c>
      <c r="AB19" s="2">
        <f t="shared" si="3"/>
        <v>0.63461538461538469</v>
      </c>
      <c r="AC19" s="2">
        <f t="shared" si="4"/>
        <v>0.66666666666666652</v>
      </c>
      <c r="AD19" s="2">
        <f t="shared" si="4"/>
        <v>0.69642857142857151</v>
      </c>
      <c r="AE19" s="2">
        <f t="shared" si="4"/>
        <v>0.72413793103448265</v>
      </c>
      <c r="AF19" s="2">
        <f t="shared" si="4"/>
        <v>0.75</v>
      </c>
      <c r="AG19" s="2">
        <f t="shared" si="4"/>
        <v>0.77419354838709686</v>
      </c>
      <c r="AH19" s="2">
        <f t="shared" si="4"/>
        <v>0.79687499999999989</v>
      </c>
      <c r="AI19" s="2">
        <f t="shared" si="4"/>
        <v>0.81818181818181823</v>
      </c>
      <c r="AJ19" s="2">
        <f t="shared" si="4"/>
        <v>0.83823529411764697</v>
      </c>
      <c r="AK19" s="2">
        <f t="shared" si="4"/>
        <v>0.8571428571428571</v>
      </c>
    </row>
    <row r="20" spans="17:37">
      <c r="Q20" s="4">
        <v>0.8</v>
      </c>
      <c r="R20" s="2">
        <f t="shared" si="2"/>
        <v>9.4117647058823542E-2</v>
      </c>
      <c r="S20" s="2">
        <f t="shared" si="3"/>
        <v>0.17777777777777781</v>
      </c>
      <c r="T20" s="2">
        <f t="shared" si="3"/>
        <v>0.25263157894736837</v>
      </c>
      <c r="U20" s="2">
        <f t="shared" si="3"/>
        <v>0.32000000000000006</v>
      </c>
      <c r="V20" s="2">
        <f t="shared" si="3"/>
        <v>0.38095238095238093</v>
      </c>
      <c r="W20" s="2">
        <f t="shared" si="3"/>
        <v>0.43636363636363629</v>
      </c>
      <c r="X20" s="2">
        <f t="shared" si="3"/>
        <v>0.4869565217391304</v>
      </c>
      <c r="Y20" s="2">
        <f t="shared" si="3"/>
        <v>0.53333333333333333</v>
      </c>
      <c r="Z20" s="2">
        <f t="shared" si="3"/>
        <v>0.57600000000000007</v>
      </c>
      <c r="AA20" s="2">
        <f t="shared" si="3"/>
        <v>0.61538461538461542</v>
      </c>
      <c r="AB20" s="2">
        <f t="shared" si="3"/>
        <v>0.6518518518518519</v>
      </c>
      <c r="AC20" s="2">
        <f t="shared" si="4"/>
        <v>0.68571428571428572</v>
      </c>
      <c r="AD20" s="2">
        <f t="shared" si="4"/>
        <v>0.71724137931034482</v>
      </c>
      <c r="AE20" s="2">
        <f t="shared" si="4"/>
        <v>0.74666666666666659</v>
      </c>
      <c r="AF20" s="2">
        <f t="shared" si="4"/>
        <v>0.77419354838709686</v>
      </c>
      <c r="AG20" s="2">
        <f t="shared" si="4"/>
        <v>0.80000000000000016</v>
      </c>
      <c r="AH20" s="2">
        <f t="shared" si="4"/>
        <v>0.82424242424242433</v>
      </c>
      <c r="AI20" s="2">
        <f t="shared" si="4"/>
        <v>0.84705882352941175</v>
      </c>
      <c r="AJ20" s="2">
        <f t="shared" si="4"/>
        <v>0.86857142857142855</v>
      </c>
      <c r="AK20" s="2">
        <f t="shared" si="4"/>
        <v>0.88888888888888895</v>
      </c>
    </row>
    <row r="21" spans="17:37">
      <c r="Q21" s="4">
        <v>0.85</v>
      </c>
      <c r="R21" s="2">
        <f t="shared" si="2"/>
        <v>9.4444444444444442E-2</v>
      </c>
      <c r="S21" s="2">
        <f t="shared" si="3"/>
        <v>0.17894736842105266</v>
      </c>
      <c r="T21" s="2">
        <f t="shared" si="3"/>
        <v>0.255</v>
      </c>
      <c r="U21" s="2">
        <f t="shared" si="3"/>
        <v>0.32380952380952382</v>
      </c>
      <c r="V21" s="2">
        <f t="shared" si="3"/>
        <v>0.3863636363636363</v>
      </c>
      <c r="W21" s="2">
        <f t="shared" si="3"/>
        <v>0.44347826086956527</v>
      </c>
      <c r="X21" s="2">
        <f t="shared" si="3"/>
        <v>0.49583333333333335</v>
      </c>
      <c r="Y21" s="2">
        <f t="shared" si="3"/>
        <v>0.54400000000000004</v>
      </c>
      <c r="Z21" s="2">
        <f t="shared" si="3"/>
        <v>0.58846153846153848</v>
      </c>
      <c r="AA21" s="2">
        <f t="shared" si="3"/>
        <v>0.62962962962962954</v>
      </c>
      <c r="AB21" s="2">
        <f t="shared" si="3"/>
        <v>0.66785714285714293</v>
      </c>
      <c r="AC21" s="2">
        <f t="shared" si="4"/>
        <v>0.70344827586206904</v>
      </c>
      <c r="AD21" s="2">
        <f t="shared" si="4"/>
        <v>0.73666666666666669</v>
      </c>
      <c r="AE21" s="2">
        <f t="shared" si="4"/>
        <v>0.76774193548387104</v>
      </c>
      <c r="AF21" s="2">
        <f t="shared" si="4"/>
        <v>0.79687499999999989</v>
      </c>
      <c r="AG21" s="2">
        <f t="shared" si="4"/>
        <v>0.82424242424242433</v>
      </c>
      <c r="AH21" s="2">
        <f t="shared" si="4"/>
        <v>0.85</v>
      </c>
      <c r="AI21" s="2">
        <f t="shared" si="4"/>
        <v>0.87428571428571433</v>
      </c>
      <c r="AJ21" s="2">
        <f t="shared" si="4"/>
        <v>0.89722222222222225</v>
      </c>
      <c r="AK21" s="2">
        <f t="shared" si="4"/>
        <v>0.91891891891891886</v>
      </c>
    </row>
    <row r="22" spans="17:37">
      <c r="Q22" s="4">
        <v>0.9</v>
      </c>
      <c r="R22" s="2">
        <f t="shared" si="2"/>
        <v>9.4736842105263161E-2</v>
      </c>
      <c r="S22" s="2">
        <f t="shared" si="3"/>
        <v>0.18000000000000002</v>
      </c>
      <c r="T22" s="2">
        <f t="shared" si="3"/>
        <v>0.25714285714285717</v>
      </c>
      <c r="U22" s="2">
        <f t="shared" si="3"/>
        <v>0.32727272727272727</v>
      </c>
      <c r="V22" s="2">
        <f t="shared" si="3"/>
        <v>0.39130434782608697</v>
      </c>
      <c r="W22" s="2">
        <f t="shared" si="3"/>
        <v>0.45000000000000007</v>
      </c>
      <c r="X22" s="2">
        <f t="shared" si="3"/>
        <v>0.504</v>
      </c>
      <c r="Y22" s="2">
        <f t="shared" si="3"/>
        <v>0.55384615384615388</v>
      </c>
      <c r="Z22" s="2">
        <f t="shared" si="3"/>
        <v>0.6</v>
      </c>
      <c r="AA22" s="2">
        <f t="shared" si="3"/>
        <v>0.6428571428571429</v>
      </c>
      <c r="AB22" s="2">
        <f t="shared" si="3"/>
        <v>0.6827586206896552</v>
      </c>
      <c r="AC22" s="2">
        <f t="shared" si="4"/>
        <v>0.72000000000000008</v>
      </c>
      <c r="AD22" s="2">
        <f t="shared" si="4"/>
        <v>0.75483870967741939</v>
      </c>
      <c r="AE22" s="2">
        <f t="shared" si="4"/>
        <v>0.78749999999999998</v>
      </c>
      <c r="AF22" s="2">
        <f t="shared" si="4"/>
        <v>0.81818181818181823</v>
      </c>
      <c r="AG22" s="2">
        <f t="shared" si="4"/>
        <v>0.84705882352941175</v>
      </c>
      <c r="AH22" s="2">
        <f t="shared" si="4"/>
        <v>0.87428571428571433</v>
      </c>
      <c r="AI22" s="2">
        <f t="shared" si="4"/>
        <v>0.9</v>
      </c>
      <c r="AJ22" s="2">
        <f t="shared" si="4"/>
        <v>0.92432432432432421</v>
      </c>
      <c r="AK22" s="2">
        <f t="shared" si="4"/>
        <v>0.94736842105263164</v>
      </c>
    </row>
    <row r="23" spans="17:37">
      <c r="Q23" s="4">
        <v>0.95</v>
      </c>
      <c r="R23" s="2">
        <f t="shared" si="2"/>
        <v>9.5000000000000001E-2</v>
      </c>
      <c r="S23" s="2">
        <f t="shared" si="3"/>
        <v>0.18095238095238095</v>
      </c>
      <c r="T23" s="2">
        <f t="shared" si="3"/>
        <v>0.25909090909090909</v>
      </c>
      <c r="U23" s="2">
        <f t="shared" si="3"/>
        <v>0.33043478260869569</v>
      </c>
      <c r="V23" s="2">
        <f t="shared" si="3"/>
        <v>0.39583333333333331</v>
      </c>
      <c r="W23" s="2">
        <f t="shared" si="3"/>
        <v>0.45599999999999996</v>
      </c>
      <c r="X23" s="2">
        <f t="shared" si="3"/>
        <v>0.5115384615384615</v>
      </c>
      <c r="Y23" s="2">
        <f t="shared" si="3"/>
        <v>0.56296296296296289</v>
      </c>
      <c r="Z23" s="2">
        <f t="shared" si="3"/>
        <v>0.61071428571428577</v>
      </c>
      <c r="AA23" s="2">
        <f t="shared" si="3"/>
        <v>0.65517241379310343</v>
      </c>
      <c r="AB23" s="2">
        <f t="shared" si="3"/>
        <v>0.69666666666666666</v>
      </c>
      <c r="AC23" s="2">
        <f t="shared" si="4"/>
        <v>0.73548387096774193</v>
      </c>
      <c r="AD23" s="2">
        <f t="shared" si="4"/>
        <v>0.77187499999999987</v>
      </c>
      <c r="AE23" s="2">
        <f t="shared" si="4"/>
        <v>0.80606060606060603</v>
      </c>
      <c r="AF23" s="2">
        <f t="shared" si="4"/>
        <v>0.83823529411764697</v>
      </c>
      <c r="AG23" s="2">
        <f t="shared" si="4"/>
        <v>0.86857142857142855</v>
      </c>
      <c r="AH23" s="2">
        <f t="shared" si="4"/>
        <v>0.89722222222222225</v>
      </c>
      <c r="AI23" s="2">
        <f t="shared" si="4"/>
        <v>0.92432432432432421</v>
      </c>
      <c r="AJ23" s="2">
        <f t="shared" si="4"/>
        <v>0.95000000000000007</v>
      </c>
      <c r="AK23" s="2">
        <f t="shared" si="4"/>
        <v>0.97435897435897434</v>
      </c>
    </row>
    <row r="24" spans="17:37">
      <c r="Q24" s="4">
        <v>1</v>
      </c>
      <c r="R24" s="2">
        <f t="shared" si="2"/>
        <v>9.5238095238095233E-2</v>
      </c>
      <c r="S24" s="2">
        <f t="shared" si="3"/>
        <v>0.18181818181818182</v>
      </c>
      <c r="T24" s="2">
        <f t="shared" si="3"/>
        <v>0.2608695652173913</v>
      </c>
      <c r="U24" s="2">
        <f t="shared" si="3"/>
        <v>0.33333333333333337</v>
      </c>
      <c r="V24" s="2">
        <f t="shared" si="3"/>
        <v>0.4</v>
      </c>
      <c r="W24" s="2">
        <f t="shared" si="3"/>
        <v>0.46153846153846151</v>
      </c>
      <c r="X24" s="2">
        <f t="shared" si="3"/>
        <v>0.51851851851851849</v>
      </c>
      <c r="Y24" s="2">
        <f t="shared" si="3"/>
        <v>0.57142857142857151</v>
      </c>
      <c r="Z24" s="2">
        <f t="shared" si="3"/>
        <v>0.62068965517241381</v>
      </c>
      <c r="AA24" s="2">
        <f t="shared" si="3"/>
        <v>0.66666666666666663</v>
      </c>
      <c r="AB24" s="2">
        <f t="shared" si="3"/>
        <v>0.70967741935483875</v>
      </c>
      <c r="AC24" s="2">
        <f t="shared" si="4"/>
        <v>0.74999999999999989</v>
      </c>
      <c r="AD24" s="2">
        <f t="shared" si="4"/>
        <v>0.78787878787878796</v>
      </c>
      <c r="AE24" s="2">
        <f t="shared" si="4"/>
        <v>0.82352941176470584</v>
      </c>
      <c r="AF24" s="2">
        <f t="shared" si="4"/>
        <v>0.8571428571428571</v>
      </c>
      <c r="AG24" s="2">
        <f t="shared" si="4"/>
        <v>0.88888888888888895</v>
      </c>
      <c r="AH24" s="2">
        <f t="shared" si="4"/>
        <v>0.91891891891891886</v>
      </c>
      <c r="AI24" s="2">
        <f t="shared" si="4"/>
        <v>0.94736842105263164</v>
      </c>
      <c r="AJ24" s="2">
        <f t="shared" si="4"/>
        <v>0.97435897435897434</v>
      </c>
      <c r="AK24" s="2">
        <f t="shared" si="4"/>
        <v>1</v>
      </c>
    </row>
    <row r="26" spans="17:37">
      <c r="Q26" s="6">
        <v>1</v>
      </c>
      <c r="R26" s="6">
        <v>0.95</v>
      </c>
      <c r="S26" s="6">
        <v>0.9</v>
      </c>
      <c r="T26" s="6">
        <v>0.85</v>
      </c>
      <c r="U26" s="6">
        <v>0.8</v>
      </c>
      <c r="V26" s="6">
        <v>0.75</v>
      </c>
      <c r="W26" s="6">
        <v>0.7</v>
      </c>
      <c r="X26" s="6">
        <v>0.65</v>
      </c>
      <c r="Y26" s="6">
        <v>0.6</v>
      </c>
      <c r="Z26" s="6">
        <v>0.55000000000000004</v>
      </c>
      <c r="AA26" s="6">
        <v>0.5</v>
      </c>
      <c r="AB26" s="6">
        <v>0.45</v>
      </c>
      <c r="AC26" s="6">
        <v>0.4</v>
      </c>
      <c r="AD26" s="6">
        <v>0.35</v>
      </c>
      <c r="AE26" s="6">
        <v>0.3</v>
      </c>
      <c r="AF26" s="6">
        <v>0.25</v>
      </c>
      <c r="AG26" s="6">
        <v>0.2</v>
      </c>
      <c r="AH26" s="6">
        <v>0.15</v>
      </c>
      <c r="AI26" s="6">
        <v>0.1</v>
      </c>
      <c r="AJ26" s="6">
        <v>0.05</v>
      </c>
      <c r="AK26" s="5" t="s">
        <v>10</v>
      </c>
    </row>
    <row r="27" spans="17:37">
      <c r="Q27" s="7">
        <f t="shared" ref="Q27:Z36" si="5">(2*$AK27*Q$26)/($AK27+Q$26)</f>
        <v>0</v>
      </c>
      <c r="R27" s="7">
        <f t="shared" si="5"/>
        <v>0</v>
      </c>
      <c r="S27" s="7">
        <f t="shared" si="5"/>
        <v>0</v>
      </c>
      <c r="T27" s="7">
        <f t="shared" si="5"/>
        <v>0</v>
      </c>
      <c r="U27" s="7">
        <f t="shared" si="5"/>
        <v>0</v>
      </c>
      <c r="V27" s="7">
        <f t="shared" si="5"/>
        <v>0</v>
      </c>
      <c r="W27" s="7">
        <f t="shared" si="5"/>
        <v>0</v>
      </c>
      <c r="X27" s="7">
        <f t="shared" si="5"/>
        <v>0</v>
      </c>
      <c r="Y27" s="7">
        <f t="shared" si="5"/>
        <v>0</v>
      </c>
      <c r="Z27" s="7">
        <f t="shared" si="5"/>
        <v>0</v>
      </c>
      <c r="AA27" s="7">
        <f t="shared" ref="AA27:AJ36" si="6">(2*$AK27*AA$26)/($AK27+AA$26)</f>
        <v>0</v>
      </c>
      <c r="AB27" s="7">
        <f t="shared" si="6"/>
        <v>0</v>
      </c>
      <c r="AC27" s="7">
        <f t="shared" si="6"/>
        <v>0</v>
      </c>
      <c r="AD27" s="7">
        <f t="shared" si="6"/>
        <v>0</v>
      </c>
      <c r="AE27" s="7">
        <f t="shared" si="6"/>
        <v>0</v>
      </c>
      <c r="AF27" s="7">
        <f t="shared" si="6"/>
        <v>0</v>
      </c>
      <c r="AG27" s="7">
        <f t="shared" si="6"/>
        <v>0</v>
      </c>
      <c r="AH27" s="7">
        <f t="shared" si="6"/>
        <v>0</v>
      </c>
      <c r="AI27" s="7">
        <f t="shared" si="6"/>
        <v>0</v>
      </c>
      <c r="AJ27" s="7">
        <f t="shared" si="6"/>
        <v>0</v>
      </c>
      <c r="AK27" s="6">
        <v>0</v>
      </c>
    </row>
    <row r="28" spans="17:37">
      <c r="Q28" s="7">
        <f t="shared" si="5"/>
        <v>9.5238095238095233E-2</v>
      </c>
      <c r="R28" s="7">
        <f t="shared" si="5"/>
        <v>9.5000000000000001E-2</v>
      </c>
      <c r="S28" s="7">
        <f t="shared" si="5"/>
        <v>9.4736842105263161E-2</v>
      </c>
      <c r="T28" s="7">
        <f t="shared" si="5"/>
        <v>9.4444444444444442E-2</v>
      </c>
      <c r="U28" s="7">
        <f t="shared" si="5"/>
        <v>9.4117647058823542E-2</v>
      </c>
      <c r="V28" s="7">
        <f t="shared" si="5"/>
        <v>9.3750000000000014E-2</v>
      </c>
      <c r="W28" s="7">
        <f t="shared" si="5"/>
        <v>9.3333333333333324E-2</v>
      </c>
      <c r="X28" s="7">
        <f t="shared" si="5"/>
        <v>9.2857142857142846E-2</v>
      </c>
      <c r="Y28" s="7">
        <f t="shared" si="5"/>
        <v>9.2307692307692299E-2</v>
      </c>
      <c r="Z28" s="7">
        <f t="shared" si="5"/>
        <v>9.166666666666666E-2</v>
      </c>
      <c r="AA28" s="7">
        <f t="shared" si="6"/>
        <v>9.0909090909090912E-2</v>
      </c>
      <c r="AB28" s="7">
        <f t="shared" si="6"/>
        <v>9.0000000000000011E-2</v>
      </c>
      <c r="AC28" s="7">
        <f t="shared" si="6"/>
        <v>8.8888888888888906E-2</v>
      </c>
      <c r="AD28" s="7">
        <f t="shared" si="6"/>
        <v>8.7499999999999994E-2</v>
      </c>
      <c r="AE28" s="7">
        <f t="shared" si="6"/>
        <v>8.5714285714285715E-2</v>
      </c>
      <c r="AF28" s="7">
        <f t="shared" si="6"/>
        <v>8.3333333333333343E-2</v>
      </c>
      <c r="AG28" s="7">
        <f t="shared" si="6"/>
        <v>8.0000000000000016E-2</v>
      </c>
      <c r="AH28" s="7">
        <f t="shared" si="6"/>
        <v>7.4999999999999997E-2</v>
      </c>
      <c r="AI28" s="7">
        <f t="shared" si="6"/>
        <v>6.6666666666666666E-2</v>
      </c>
      <c r="AJ28" s="7">
        <f t="shared" si="6"/>
        <v>5.000000000000001E-2</v>
      </c>
      <c r="AK28" s="6">
        <v>0.05</v>
      </c>
    </row>
    <row r="29" spans="17:37">
      <c r="Q29" s="7">
        <f t="shared" si="5"/>
        <v>0.18181818181818182</v>
      </c>
      <c r="R29" s="7">
        <f t="shared" si="5"/>
        <v>0.18095238095238095</v>
      </c>
      <c r="S29" s="7">
        <f t="shared" si="5"/>
        <v>0.18000000000000002</v>
      </c>
      <c r="T29" s="7">
        <f t="shared" si="5"/>
        <v>0.17894736842105266</v>
      </c>
      <c r="U29" s="7">
        <f t="shared" si="5"/>
        <v>0.17777777777777781</v>
      </c>
      <c r="V29" s="7">
        <f t="shared" si="5"/>
        <v>0.17647058823529416</v>
      </c>
      <c r="W29" s="7">
        <f t="shared" si="5"/>
        <v>0.17499999999999999</v>
      </c>
      <c r="X29" s="7">
        <f t="shared" si="5"/>
        <v>0.17333333333333334</v>
      </c>
      <c r="Y29" s="7">
        <f t="shared" si="5"/>
        <v>0.17142857142857143</v>
      </c>
      <c r="Z29" s="7">
        <f t="shared" si="5"/>
        <v>0.16923076923076924</v>
      </c>
      <c r="AA29" s="7">
        <f t="shared" si="6"/>
        <v>0.16666666666666669</v>
      </c>
      <c r="AB29" s="7">
        <f t="shared" si="6"/>
        <v>0.16363636363636364</v>
      </c>
      <c r="AC29" s="7">
        <f t="shared" si="6"/>
        <v>0.16000000000000003</v>
      </c>
      <c r="AD29" s="7">
        <f t="shared" si="6"/>
        <v>0.15555555555555556</v>
      </c>
      <c r="AE29" s="7">
        <f t="shared" si="6"/>
        <v>0.15</v>
      </c>
      <c r="AF29" s="7">
        <f t="shared" si="6"/>
        <v>0.14285714285714288</v>
      </c>
      <c r="AG29" s="7">
        <f t="shared" si="6"/>
        <v>0.13333333333333333</v>
      </c>
      <c r="AH29" s="7">
        <f t="shared" si="6"/>
        <v>0.12</v>
      </c>
      <c r="AI29" s="7">
        <f t="shared" si="6"/>
        <v>0.10000000000000002</v>
      </c>
      <c r="AJ29" s="7">
        <f t="shared" si="6"/>
        <v>6.6666666666666666E-2</v>
      </c>
      <c r="AK29" s="6">
        <v>0.1</v>
      </c>
    </row>
    <row r="30" spans="17:37">
      <c r="Q30" s="7">
        <f t="shared" si="5"/>
        <v>0.2608695652173913</v>
      </c>
      <c r="R30" s="7">
        <f t="shared" si="5"/>
        <v>0.25909090909090909</v>
      </c>
      <c r="S30" s="7">
        <f t="shared" si="5"/>
        <v>0.25714285714285717</v>
      </c>
      <c r="T30" s="7">
        <f t="shared" si="5"/>
        <v>0.255</v>
      </c>
      <c r="U30" s="7">
        <f t="shared" si="5"/>
        <v>0.25263157894736837</v>
      </c>
      <c r="V30" s="7">
        <f t="shared" si="5"/>
        <v>0.24999999999999997</v>
      </c>
      <c r="W30" s="7">
        <f t="shared" si="5"/>
        <v>0.24705882352941178</v>
      </c>
      <c r="X30" s="7">
        <f t="shared" si="5"/>
        <v>0.24374999999999999</v>
      </c>
      <c r="Y30" s="7">
        <f t="shared" si="5"/>
        <v>0.24</v>
      </c>
      <c r="Z30" s="7">
        <f t="shared" si="5"/>
        <v>0.23571428571428571</v>
      </c>
      <c r="AA30" s="7">
        <f t="shared" si="6"/>
        <v>0.23076923076923075</v>
      </c>
      <c r="AB30" s="7">
        <f t="shared" si="6"/>
        <v>0.22500000000000003</v>
      </c>
      <c r="AC30" s="7">
        <f t="shared" si="6"/>
        <v>0.21818181818181814</v>
      </c>
      <c r="AD30" s="7">
        <f t="shared" si="6"/>
        <v>0.21</v>
      </c>
      <c r="AE30" s="7">
        <f t="shared" si="6"/>
        <v>0.2</v>
      </c>
      <c r="AF30" s="7">
        <f t="shared" si="6"/>
        <v>0.18749999999999997</v>
      </c>
      <c r="AG30" s="7">
        <f t="shared" si="6"/>
        <v>0.17142857142857143</v>
      </c>
      <c r="AH30" s="7">
        <f t="shared" si="6"/>
        <v>0.15</v>
      </c>
      <c r="AI30" s="7">
        <f t="shared" si="6"/>
        <v>0.12</v>
      </c>
      <c r="AJ30" s="7">
        <f t="shared" si="6"/>
        <v>7.4999999999999997E-2</v>
      </c>
      <c r="AK30" s="6">
        <v>0.15</v>
      </c>
    </row>
    <row r="31" spans="17:37">
      <c r="Q31" s="7">
        <f t="shared" si="5"/>
        <v>0.33333333333333337</v>
      </c>
      <c r="R31" s="7">
        <f t="shared" si="5"/>
        <v>0.33043478260869569</v>
      </c>
      <c r="S31" s="7">
        <f t="shared" si="5"/>
        <v>0.32727272727272727</v>
      </c>
      <c r="T31" s="7">
        <f t="shared" si="5"/>
        <v>0.32380952380952382</v>
      </c>
      <c r="U31" s="7">
        <f t="shared" si="5"/>
        <v>0.32000000000000006</v>
      </c>
      <c r="V31" s="7">
        <f t="shared" si="5"/>
        <v>0.31578947368421056</v>
      </c>
      <c r="W31" s="7">
        <f t="shared" si="5"/>
        <v>0.31111111111111112</v>
      </c>
      <c r="X31" s="7">
        <f t="shared" si="5"/>
        <v>0.30588235294117644</v>
      </c>
      <c r="Y31" s="7">
        <f t="shared" si="5"/>
        <v>0.3</v>
      </c>
      <c r="Z31" s="7">
        <f t="shared" si="5"/>
        <v>0.29333333333333339</v>
      </c>
      <c r="AA31" s="7">
        <f t="shared" si="6"/>
        <v>0.28571428571428575</v>
      </c>
      <c r="AB31" s="7">
        <f t="shared" si="6"/>
        <v>0.27692307692307694</v>
      </c>
      <c r="AC31" s="7">
        <f t="shared" si="6"/>
        <v>0.26666666666666666</v>
      </c>
      <c r="AD31" s="7">
        <f t="shared" si="6"/>
        <v>0.25454545454545452</v>
      </c>
      <c r="AE31" s="7">
        <f t="shared" si="6"/>
        <v>0.24</v>
      </c>
      <c r="AF31" s="7">
        <f t="shared" si="6"/>
        <v>0.22222222222222224</v>
      </c>
      <c r="AG31" s="7">
        <f t="shared" si="6"/>
        <v>0.20000000000000004</v>
      </c>
      <c r="AH31" s="7">
        <f t="shared" si="6"/>
        <v>0.17142857142857143</v>
      </c>
      <c r="AI31" s="7">
        <f t="shared" si="6"/>
        <v>0.13333333333333333</v>
      </c>
      <c r="AJ31" s="7">
        <f t="shared" si="6"/>
        <v>8.0000000000000016E-2</v>
      </c>
      <c r="AK31" s="6">
        <v>0.2</v>
      </c>
    </row>
    <row r="32" spans="17:37">
      <c r="Q32" s="7">
        <f t="shared" si="5"/>
        <v>0.4</v>
      </c>
      <c r="R32" s="7">
        <f t="shared" si="5"/>
        <v>0.39583333333333331</v>
      </c>
      <c r="S32" s="7">
        <f t="shared" si="5"/>
        <v>0.39130434782608697</v>
      </c>
      <c r="T32" s="7">
        <f t="shared" si="5"/>
        <v>0.3863636363636363</v>
      </c>
      <c r="U32" s="7">
        <f t="shared" si="5"/>
        <v>0.38095238095238093</v>
      </c>
      <c r="V32" s="7">
        <f t="shared" si="5"/>
        <v>0.375</v>
      </c>
      <c r="W32" s="7">
        <f t="shared" si="5"/>
        <v>0.36842105263157893</v>
      </c>
      <c r="X32" s="7">
        <f t="shared" si="5"/>
        <v>0.3611111111111111</v>
      </c>
      <c r="Y32" s="7">
        <f t="shared" si="5"/>
        <v>0.35294117647058826</v>
      </c>
      <c r="Z32" s="7">
        <f t="shared" si="5"/>
        <v>0.34375</v>
      </c>
      <c r="AA32" s="7">
        <f t="shared" si="6"/>
        <v>0.33333333333333331</v>
      </c>
      <c r="AB32" s="7">
        <f t="shared" si="6"/>
        <v>0.32142857142857145</v>
      </c>
      <c r="AC32" s="7">
        <f t="shared" si="6"/>
        <v>0.30769230769230771</v>
      </c>
      <c r="AD32" s="7">
        <f t="shared" si="6"/>
        <v>0.29166666666666669</v>
      </c>
      <c r="AE32" s="7">
        <f t="shared" si="6"/>
        <v>0.27272727272727271</v>
      </c>
      <c r="AF32" s="7">
        <f t="shared" si="6"/>
        <v>0.25</v>
      </c>
      <c r="AG32" s="7">
        <f t="shared" si="6"/>
        <v>0.22222222222222224</v>
      </c>
      <c r="AH32" s="7">
        <f t="shared" si="6"/>
        <v>0.18749999999999997</v>
      </c>
      <c r="AI32" s="7">
        <f t="shared" si="6"/>
        <v>0.14285714285714288</v>
      </c>
      <c r="AJ32" s="7">
        <f t="shared" si="6"/>
        <v>8.3333333333333343E-2</v>
      </c>
      <c r="AK32" s="6">
        <v>0.25</v>
      </c>
    </row>
    <row r="33" spans="17:37">
      <c r="Q33" s="7">
        <f t="shared" si="5"/>
        <v>0.46153846153846151</v>
      </c>
      <c r="R33" s="7">
        <f t="shared" si="5"/>
        <v>0.45599999999999996</v>
      </c>
      <c r="S33" s="7">
        <f t="shared" si="5"/>
        <v>0.45000000000000007</v>
      </c>
      <c r="T33" s="7">
        <f t="shared" si="5"/>
        <v>0.44347826086956527</v>
      </c>
      <c r="U33" s="7">
        <f t="shared" si="5"/>
        <v>0.43636363636363629</v>
      </c>
      <c r="V33" s="7">
        <f t="shared" si="5"/>
        <v>0.42857142857142849</v>
      </c>
      <c r="W33" s="7">
        <f t="shared" si="5"/>
        <v>0.42</v>
      </c>
      <c r="X33" s="7">
        <f t="shared" si="5"/>
        <v>0.41052631578947374</v>
      </c>
      <c r="Y33" s="7">
        <f t="shared" si="5"/>
        <v>0.4</v>
      </c>
      <c r="Z33" s="7">
        <f t="shared" si="5"/>
        <v>0.38823529411764701</v>
      </c>
      <c r="AA33" s="7">
        <f t="shared" si="6"/>
        <v>0.37499999999999994</v>
      </c>
      <c r="AB33" s="7">
        <f t="shared" si="6"/>
        <v>0.36000000000000004</v>
      </c>
      <c r="AC33" s="7">
        <f t="shared" si="6"/>
        <v>0.34285714285714286</v>
      </c>
      <c r="AD33" s="7">
        <f t="shared" si="6"/>
        <v>0.32307692307692309</v>
      </c>
      <c r="AE33" s="7">
        <f t="shared" si="6"/>
        <v>0.3</v>
      </c>
      <c r="AF33" s="7">
        <f t="shared" si="6"/>
        <v>0.27272727272727271</v>
      </c>
      <c r="AG33" s="7">
        <f t="shared" si="6"/>
        <v>0.24</v>
      </c>
      <c r="AH33" s="7">
        <f t="shared" si="6"/>
        <v>0.2</v>
      </c>
      <c r="AI33" s="7">
        <f t="shared" si="6"/>
        <v>0.15</v>
      </c>
      <c r="AJ33" s="7">
        <f t="shared" si="6"/>
        <v>8.5714285714285715E-2</v>
      </c>
      <c r="AK33" s="6">
        <v>0.3</v>
      </c>
    </row>
    <row r="34" spans="17:37">
      <c r="Q34" s="7">
        <f t="shared" si="5"/>
        <v>0.51851851851851849</v>
      </c>
      <c r="R34" s="7">
        <f t="shared" si="5"/>
        <v>0.5115384615384615</v>
      </c>
      <c r="S34" s="7">
        <f t="shared" si="5"/>
        <v>0.504</v>
      </c>
      <c r="T34" s="7">
        <f t="shared" si="5"/>
        <v>0.49583333333333335</v>
      </c>
      <c r="U34" s="7">
        <f t="shared" si="5"/>
        <v>0.4869565217391304</v>
      </c>
      <c r="V34" s="7">
        <f t="shared" si="5"/>
        <v>0.47727272727272713</v>
      </c>
      <c r="W34" s="7">
        <f t="shared" si="5"/>
        <v>0.46666666666666667</v>
      </c>
      <c r="X34" s="7">
        <f t="shared" si="5"/>
        <v>0.45499999999999996</v>
      </c>
      <c r="Y34" s="7">
        <f t="shared" si="5"/>
        <v>0.44210526315789472</v>
      </c>
      <c r="Z34" s="7">
        <f t="shared" si="5"/>
        <v>0.42777777777777776</v>
      </c>
      <c r="AA34" s="7">
        <f t="shared" si="6"/>
        <v>0.41176470588235292</v>
      </c>
      <c r="AB34" s="7">
        <f t="shared" si="6"/>
        <v>0.39374999999999999</v>
      </c>
      <c r="AC34" s="7">
        <f t="shared" si="6"/>
        <v>0.37333333333333329</v>
      </c>
      <c r="AD34" s="7">
        <f t="shared" si="6"/>
        <v>0.35</v>
      </c>
      <c r="AE34" s="7">
        <f t="shared" si="6"/>
        <v>0.32307692307692309</v>
      </c>
      <c r="AF34" s="7">
        <f t="shared" si="6"/>
        <v>0.29166666666666669</v>
      </c>
      <c r="AG34" s="7">
        <f t="shared" si="6"/>
        <v>0.25454545454545452</v>
      </c>
      <c r="AH34" s="7">
        <f t="shared" si="6"/>
        <v>0.21</v>
      </c>
      <c r="AI34" s="7">
        <f t="shared" si="6"/>
        <v>0.15555555555555556</v>
      </c>
      <c r="AJ34" s="7">
        <f t="shared" si="6"/>
        <v>8.7499999999999994E-2</v>
      </c>
      <c r="AK34" s="6">
        <v>0.35</v>
      </c>
    </row>
    <row r="35" spans="17:37">
      <c r="Q35" s="7">
        <f t="shared" si="5"/>
        <v>0.57142857142857151</v>
      </c>
      <c r="R35" s="7">
        <f t="shared" si="5"/>
        <v>0.56296296296296289</v>
      </c>
      <c r="S35" s="7">
        <f t="shared" si="5"/>
        <v>0.55384615384615388</v>
      </c>
      <c r="T35" s="7">
        <f t="shared" si="5"/>
        <v>0.54400000000000004</v>
      </c>
      <c r="U35" s="7">
        <f t="shared" si="5"/>
        <v>0.53333333333333333</v>
      </c>
      <c r="V35" s="7">
        <f t="shared" si="5"/>
        <v>0.52173913043478271</v>
      </c>
      <c r="W35" s="7">
        <f t="shared" si="5"/>
        <v>0.50909090909090904</v>
      </c>
      <c r="X35" s="7">
        <f t="shared" si="5"/>
        <v>0.49523809523809526</v>
      </c>
      <c r="Y35" s="7">
        <f t="shared" si="5"/>
        <v>0.48</v>
      </c>
      <c r="Z35" s="7">
        <f t="shared" si="5"/>
        <v>0.46315789473684216</v>
      </c>
      <c r="AA35" s="7">
        <f t="shared" si="6"/>
        <v>0.44444444444444448</v>
      </c>
      <c r="AB35" s="7">
        <f t="shared" si="6"/>
        <v>0.42352941176470588</v>
      </c>
      <c r="AC35" s="7">
        <f t="shared" si="6"/>
        <v>0.40000000000000008</v>
      </c>
      <c r="AD35" s="7">
        <f t="shared" si="6"/>
        <v>0.37333333333333329</v>
      </c>
      <c r="AE35" s="7">
        <f t="shared" si="6"/>
        <v>0.34285714285714286</v>
      </c>
      <c r="AF35" s="7">
        <f t="shared" si="6"/>
        <v>0.30769230769230771</v>
      </c>
      <c r="AG35" s="7">
        <f t="shared" si="6"/>
        <v>0.26666666666666666</v>
      </c>
      <c r="AH35" s="7">
        <f t="shared" si="6"/>
        <v>0.21818181818181814</v>
      </c>
      <c r="AI35" s="7">
        <f t="shared" si="6"/>
        <v>0.16000000000000003</v>
      </c>
      <c r="AJ35" s="7">
        <f t="shared" si="6"/>
        <v>8.8888888888888906E-2</v>
      </c>
      <c r="AK35" s="6">
        <v>0.4</v>
      </c>
    </row>
    <row r="36" spans="17:37">
      <c r="Q36" s="7">
        <f t="shared" si="5"/>
        <v>0.62068965517241381</v>
      </c>
      <c r="R36" s="7">
        <f t="shared" si="5"/>
        <v>0.61071428571428577</v>
      </c>
      <c r="S36" s="7">
        <f t="shared" si="5"/>
        <v>0.6</v>
      </c>
      <c r="T36" s="7">
        <f t="shared" si="5"/>
        <v>0.58846153846153848</v>
      </c>
      <c r="U36" s="7">
        <f t="shared" si="5"/>
        <v>0.57600000000000007</v>
      </c>
      <c r="V36" s="7">
        <f t="shared" si="5"/>
        <v>0.56250000000000011</v>
      </c>
      <c r="W36" s="7">
        <f t="shared" si="5"/>
        <v>0.5478260869565218</v>
      </c>
      <c r="X36" s="7">
        <f t="shared" si="5"/>
        <v>0.53181818181818186</v>
      </c>
      <c r="Y36" s="7">
        <f t="shared" si="5"/>
        <v>0.51428571428571435</v>
      </c>
      <c r="Z36" s="7">
        <f t="shared" si="5"/>
        <v>0.49500000000000005</v>
      </c>
      <c r="AA36" s="7">
        <f t="shared" si="6"/>
        <v>0.47368421052631582</v>
      </c>
      <c r="AB36" s="7">
        <f t="shared" si="6"/>
        <v>0.45</v>
      </c>
      <c r="AC36" s="7">
        <f t="shared" si="6"/>
        <v>0.42352941176470588</v>
      </c>
      <c r="AD36" s="7">
        <f t="shared" si="6"/>
        <v>0.39374999999999999</v>
      </c>
      <c r="AE36" s="7">
        <f t="shared" si="6"/>
        <v>0.36000000000000004</v>
      </c>
      <c r="AF36" s="7">
        <f t="shared" si="6"/>
        <v>0.32142857142857145</v>
      </c>
      <c r="AG36" s="7">
        <f t="shared" si="6"/>
        <v>0.27692307692307694</v>
      </c>
      <c r="AH36" s="7">
        <f t="shared" si="6"/>
        <v>0.22500000000000003</v>
      </c>
      <c r="AI36" s="7">
        <f t="shared" si="6"/>
        <v>0.16363636363636364</v>
      </c>
      <c r="AJ36" s="7">
        <f t="shared" si="6"/>
        <v>9.0000000000000011E-2</v>
      </c>
      <c r="AK36" s="6">
        <v>0.45</v>
      </c>
    </row>
    <row r="37" spans="17:37">
      <c r="Q37" s="7">
        <f t="shared" ref="Q37:Z47" si="7">(2*$AK37*Q$26)/($AK37+Q$26)</f>
        <v>0.66666666666666663</v>
      </c>
      <c r="R37" s="7">
        <f t="shared" si="7"/>
        <v>0.65517241379310343</v>
      </c>
      <c r="S37" s="7">
        <f t="shared" si="7"/>
        <v>0.6428571428571429</v>
      </c>
      <c r="T37" s="7">
        <f t="shared" si="7"/>
        <v>0.62962962962962954</v>
      </c>
      <c r="U37" s="7">
        <f t="shared" si="7"/>
        <v>0.61538461538461542</v>
      </c>
      <c r="V37" s="7">
        <f t="shared" si="7"/>
        <v>0.6</v>
      </c>
      <c r="W37" s="7">
        <f t="shared" si="7"/>
        <v>0.58333333333333337</v>
      </c>
      <c r="X37" s="7">
        <f t="shared" si="7"/>
        <v>0.56521739130434789</v>
      </c>
      <c r="Y37" s="7">
        <f t="shared" si="7"/>
        <v>0.54545454545454541</v>
      </c>
      <c r="Z37" s="7">
        <f t="shared" si="7"/>
        <v>0.52380952380952384</v>
      </c>
      <c r="AA37" s="7">
        <f t="shared" ref="AA37:AJ47" si="8">(2*$AK37*AA$26)/($AK37+AA$26)</f>
        <v>0.5</v>
      </c>
      <c r="AB37" s="7">
        <f t="shared" si="8"/>
        <v>0.47368421052631582</v>
      </c>
      <c r="AC37" s="7">
        <f t="shared" si="8"/>
        <v>0.44444444444444448</v>
      </c>
      <c r="AD37" s="7">
        <f t="shared" si="8"/>
        <v>0.41176470588235292</v>
      </c>
      <c r="AE37" s="7">
        <f t="shared" si="8"/>
        <v>0.37499999999999994</v>
      </c>
      <c r="AF37" s="7">
        <f t="shared" si="8"/>
        <v>0.33333333333333331</v>
      </c>
      <c r="AG37" s="7">
        <f t="shared" si="8"/>
        <v>0.28571428571428575</v>
      </c>
      <c r="AH37" s="7">
        <f t="shared" si="8"/>
        <v>0.23076923076923075</v>
      </c>
      <c r="AI37" s="7">
        <f t="shared" si="8"/>
        <v>0.16666666666666669</v>
      </c>
      <c r="AJ37" s="7">
        <f t="shared" si="8"/>
        <v>9.0909090909090912E-2</v>
      </c>
      <c r="AK37" s="6">
        <v>0.5</v>
      </c>
    </row>
    <row r="38" spans="17:37">
      <c r="Q38" s="7">
        <f t="shared" si="7"/>
        <v>0.70967741935483875</v>
      </c>
      <c r="R38" s="7">
        <f t="shared" si="7"/>
        <v>0.69666666666666666</v>
      </c>
      <c r="S38" s="7">
        <f t="shared" si="7"/>
        <v>0.6827586206896552</v>
      </c>
      <c r="T38" s="7">
        <f t="shared" si="7"/>
        <v>0.66785714285714293</v>
      </c>
      <c r="U38" s="7">
        <f t="shared" si="7"/>
        <v>0.6518518518518519</v>
      </c>
      <c r="V38" s="7">
        <f t="shared" si="7"/>
        <v>0.63461538461538469</v>
      </c>
      <c r="W38" s="7">
        <f t="shared" si="7"/>
        <v>0.61599999999999999</v>
      </c>
      <c r="X38" s="7">
        <f t="shared" si="7"/>
        <v>0.59583333333333333</v>
      </c>
      <c r="Y38" s="7">
        <f t="shared" si="7"/>
        <v>0.57391304347826089</v>
      </c>
      <c r="Z38" s="7">
        <f t="shared" si="7"/>
        <v>0.55000000000000004</v>
      </c>
      <c r="AA38" s="7">
        <f t="shared" si="8"/>
        <v>0.52380952380952384</v>
      </c>
      <c r="AB38" s="7">
        <f t="shared" si="8"/>
        <v>0.49500000000000005</v>
      </c>
      <c r="AC38" s="7">
        <f t="shared" si="8"/>
        <v>0.46315789473684216</v>
      </c>
      <c r="AD38" s="7">
        <f t="shared" si="8"/>
        <v>0.42777777777777776</v>
      </c>
      <c r="AE38" s="7">
        <f t="shared" si="8"/>
        <v>0.38823529411764701</v>
      </c>
      <c r="AF38" s="7">
        <f t="shared" si="8"/>
        <v>0.34375</v>
      </c>
      <c r="AG38" s="7">
        <f t="shared" si="8"/>
        <v>0.29333333333333339</v>
      </c>
      <c r="AH38" s="7">
        <f t="shared" si="8"/>
        <v>0.23571428571428571</v>
      </c>
      <c r="AI38" s="7">
        <f t="shared" si="8"/>
        <v>0.16923076923076924</v>
      </c>
      <c r="AJ38" s="7">
        <f t="shared" si="8"/>
        <v>9.166666666666666E-2</v>
      </c>
      <c r="AK38" s="6">
        <v>0.55000000000000004</v>
      </c>
    </row>
    <row r="39" spans="17:37">
      <c r="Q39" s="7">
        <f t="shared" si="7"/>
        <v>0.74999999999999989</v>
      </c>
      <c r="R39" s="7">
        <f t="shared" si="7"/>
        <v>0.73548387096774193</v>
      </c>
      <c r="S39" s="7">
        <f t="shared" si="7"/>
        <v>0.72000000000000008</v>
      </c>
      <c r="T39" s="7">
        <f t="shared" si="7"/>
        <v>0.70344827586206904</v>
      </c>
      <c r="U39" s="7">
        <f t="shared" si="7"/>
        <v>0.68571428571428572</v>
      </c>
      <c r="V39" s="7">
        <f t="shared" si="7"/>
        <v>0.66666666666666652</v>
      </c>
      <c r="W39" s="7">
        <f t="shared" si="7"/>
        <v>0.64615384615384619</v>
      </c>
      <c r="X39" s="7">
        <f t="shared" si="7"/>
        <v>0.624</v>
      </c>
      <c r="Y39" s="7">
        <f t="shared" si="7"/>
        <v>0.6</v>
      </c>
      <c r="Z39" s="7">
        <f t="shared" si="7"/>
        <v>0.57391304347826089</v>
      </c>
      <c r="AA39" s="7">
        <f t="shared" si="8"/>
        <v>0.54545454545454541</v>
      </c>
      <c r="AB39" s="7">
        <f t="shared" si="8"/>
        <v>0.51428571428571435</v>
      </c>
      <c r="AC39" s="7">
        <f t="shared" si="8"/>
        <v>0.48</v>
      </c>
      <c r="AD39" s="7">
        <f t="shared" si="8"/>
        <v>0.44210526315789472</v>
      </c>
      <c r="AE39" s="7">
        <f t="shared" si="8"/>
        <v>0.4</v>
      </c>
      <c r="AF39" s="7">
        <f t="shared" si="8"/>
        <v>0.35294117647058826</v>
      </c>
      <c r="AG39" s="7">
        <f t="shared" si="8"/>
        <v>0.3</v>
      </c>
      <c r="AH39" s="7">
        <f t="shared" si="8"/>
        <v>0.24</v>
      </c>
      <c r="AI39" s="7">
        <f t="shared" si="8"/>
        <v>0.17142857142857143</v>
      </c>
      <c r="AJ39" s="7">
        <f t="shared" si="8"/>
        <v>9.2307692307692299E-2</v>
      </c>
      <c r="AK39" s="6">
        <v>0.6</v>
      </c>
    </row>
    <row r="40" spans="17:37">
      <c r="Q40" s="7">
        <f t="shared" si="7"/>
        <v>0.78787878787878796</v>
      </c>
      <c r="R40" s="7">
        <f t="shared" si="7"/>
        <v>0.77187499999999987</v>
      </c>
      <c r="S40" s="7">
        <f t="shared" si="7"/>
        <v>0.75483870967741939</v>
      </c>
      <c r="T40" s="7">
        <f t="shared" si="7"/>
        <v>0.73666666666666669</v>
      </c>
      <c r="U40" s="7">
        <f t="shared" si="7"/>
        <v>0.71724137931034482</v>
      </c>
      <c r="V40" s="7">
        <f t="shared" si="7"/>
        <v>0.69642857142857151</v>
      </c>
      <c r="W40" s="7">
        <f t="shared" si="7"/>
        <v>0.67407407407407394</v>
      </c>
      <c r="X40" s="7">
        <f t="shared" si="7"/>
        <v>0.65</v>
      </c>
      <c r="Y40" s="7">
        <f t="shared" si="7"/>
        <v>0.624</v>
      </c>
      <c r="Z40" s="7">
        <f t="shared" si="7"/>
        <v>0.59583333333333333</v>
      </c>
      <c r="AA40" s="7">
        <f t="shared" si="8"/>
        <v>0.56521739130434789</v>
      </c>
      <c r="AB40" s="7">
        <f t="shared" si="8"/>
        <v>0.53181818181818186</v>
      </c>
      <c r="AC40" s="7">
        <f t="shared" si="8"/>
        <v>0.49523809523809526</v>
      </c>
      <c r="AD40" s="7">
        <f t="shared" si="8"/>
        <v>0.45499999999999996</v>
      </c>
      <c r="AE40" s="7">
        <f t="shared" si="8"/>
        <v>0.41052631578947374</v>
      </c>
      <c r="AF40" s="7">
        <f t="shared" si="8"/>
        <v>0.3611111111111111</v>
      </c>
      <c r="AG40" s="7">
        <f t="shared" si="8"/>
        <v>0.30588235294117644</v>
      </c>
      <c r="AH40" s="7">
        <f t="shared" si="8"/>
        <v>0.24374999999999999</v>
      </c>
      <c r="AI40" s="7">
        <f t="shared" si="8"/>
        <v>0.17333333333333334</v>
      </c>
      <c r="AJ40" s="7">
        <f t="shared" si="8"/>
        <v>9.2857142857142846E-2</v>
      </c>
      <c r="AK40" s="6">
        <v>0.65</v>
      </c>
    </row>
    <row r="41" spans="17:37">
      <c r="Q41" s="7">
        <f t="shared" si="7"/>
        <v>0.82352941176470584</v>
      </c>
      <c r="R41" s="7">
        <f t="shared" si="7"/>
        <v>0.80606060606060603</v>
      </c>
      <c r="S41" s="7">
        <f t="shared" si="7"/>
        <v>0.78749999999999998</v>
      </c>
      <c r="T41" s="7">
        <f t="shared" si="7"/>
        <v>0.76774193548387104</v>
      </c>
      <c r="U41" s="7">
        <f t="shared" si="7"/>
        <v>0.74666666666666659</v>
      </c>
      <c r="V41" s="7">
        <f t="shared" si="7"/>
        <v>0.72413793103448265</v>
      </c>
      <c r="W41" s="7">
        <f t="shared" si="7"/>
        <v>0.7</v>
      </c>
      <c r="X41" s="7">
        <f t="shared" si="7"/>
        <v>0.67407407407407394</v>
      </c>
      <c r="Y41" s="7">
        <f t="shared" si="7"/>
        <v>0.64615384615384619</v>
      </c>
      <c r="Z41" s="7">
        <f t="shared" si="7"/>
        <v>0.61599999999999999</v>
      </c>
      <c r="AA41" s="7">
        <f t="shared" si="8"/>
        <v>0.58333333333333337</v>
      </c>
      <c r="AB41" s="7">
        <f t="shared" si="8"/>
        <v>0.5478260869565218</v>
      </c>
      <c r="AC41" s="7">
        <f t="shared" si="8"/>
        <v>0.50909090909090904</v>
      </c>
      <c r="AD41" s="7">
        <f t="shared" si="8"/>
        <v>0.46666666666666667</v>
      </c>
      <c r="AE41" s="7">
        <f t="shared" si="8"/>
        <v>0.42</v>
      </c>
      <c r="AF41" s="7">
        <f t="shared" si="8"/>
        <v>0.36842105263157893</v>
      </c>
      <c r="AG41" s="7">
        <f t="shared" si="8"/>
        <v>0.31111111111111112</v>
      </c>
      <c r="AH41" s="7">
        <f t="shared" si="8"/>
        <v>0.24705882352941178</v>
      </c>
      <c r="AI41" s="7">
        <f t="shared" si="8"/>
        <v>0.17499999999999999</v>
      </c>
      <c r="AJ41" s="7">
        <f t="shared" si="8"/>
        <v>9.3333333333333324E-2</v>
      </c>
      <c r="AK41" s="6">
        <v>0.7</v>
      </c>
    </row>
    <row r="42" spans="17:37">
      <c r="Q42" s="7">
        <f t="shared" si="7"/>
        <v>0.8571428571428571</v>
      </c>
      <c r="R42" s="7">
        <f t="shared" si="7"/>
        <v>0.83823529411764697</v>
      </c>
      <c r="S42" s="7">
        <f t="shared" si="7"/>
        <v>0.81818181818181823</v>
      </c>
      <c r="T42" s="7">
        <f t="shared" si="7"/>
        <v>0.79687499999999989</v>
      </c>
      <c r="U42" s="7">
        <f t="shared" si="7"/>
        <v>0.77419354838709686</v>
      </c>
      <c r="V42" s="7">
        <f t="shared" si="7"/>
        <v>0.75</v>
      </c>
      <c r="W42" s="7">
        <f t="shared" si="7"/>
        <v>0.72413793103448265</v>
      </c>
      <c r="X42" s="7">
        <f t="shared" si="7"/>
        <v>0.69642857142857151</v>
      </c>
      <c r="Y42" s="7">
        <f t="shared" si="7"/>
        <v>0.66666666666666652</v>
      </c>
      <c r="Z42" s="7">
        <f t="shared" si="7"/>
        <v>0.63461538461538469</v>
      </c>
      <c r="AA42" s="7">
        <f t="shared" si="8"/>
        <v>0.6</v>
      </c>
      <c r="AB42" s="7">
        <f t="shared" si="8"/>
        <v>0.56250000000000011</v>
      </c>
      <c r="AC42" s="7">
        <f t="shared" si="8"/>
        <v>0.52173913043478271</v>
      </c>
      <c r="AD42" s="7">
        <f t="shared" si="8"/>
        <v>0.47727272727272713</v>
      </c>
      <c r="AE42" s="7">
        <f t="shared" si="8"/>
        <v>0.42857142857142849</v>
      </c>
      <c r="AF42" s="7">
        <f t="shared" si="8"/>
        <v>0.375</v>
      </c>
      <c r="AG42" s="7">
        <f t="shared" si="8"/>
        <v>0.31578947368421056</v>
      </c>
      <c r="AH42" s="7">
        <f t="shared" si="8"/>
        <v>0.24999999999999997</v>
      </c>
      <c r="AI42" s="7">
        <f t="shared" si="8"/>
        <v>0.17647058823529416</v>
      </c>
      <c r="AJ42" s="7">
        <f t="shared" si="8"/>
        <v>9.3750000000000014E-2</v>
      </c>
      <c r="AK42" s="6">
        <v>0.75</v>
      </c>
    </row>
    <row r="43" spans="17:37">
      <c r="Q43" s="7">
        <f t="shared" si="7"/>
        <v>0.88888888888888895</v>
      </c>
      <c r="R43" s="7">
        <f t="shared" si="7"/>
        <v>0.86857142857142855</v>
      </c>
      <c r="S43" s="7">
        <f t="shared" si="7"/>
        <v>0.84705882352941175</v>
      </c>
      <c r="T43" s="7">
        <f t="shared" si="7"/>
        <v>0.82424242424242433</v>
      </c>
      <c r="U43" s="7">
        <f t="shared" si="7"/>
        <v>0.80000000000000016</v>
      </c>
      <c r="V43" s="7">
        <f t="shared" si="7"/>
        <v>0.77419354838709686</v>
      </c>
      <c r="W43" s="7">
        <f t="shared" si="7"/>
        <v>0.74666666666666659</v>
      </c>
      <c r="X43" s="7">
        <f t="shared" si="7"/>
        <v>0.71724137931034482</v>
      </c>
      <c r="Y43" s="7">
        <f t="shared" si="7"/>
        <v>0.68571428571428572</v>
      </c>
      <c r="Z43" s="7">
        <f t="shared" si="7"/>
        <v>0.6518518518518519</v>
      </c>
      <c r="AA43" s="7">
        <f t="shared" si="8"/>
        <v>0.61538461538461542</v>
      </c>
      <c r="AB43" s="7">
        <f t="shared" si="8"/>
        <v>0.57600000000000007</v>
      </c>
      <c r="AC43" s="7">
        <f t="shared" si="8"/>
        <v>0.53333333333333333</v>
      </c>
      <c r="AD43" s="7">
        <f t="shared" si="8"/>
        <v>0.4869565217391304</v>
      </c>
      <c r="AE43" s="7">
        <f t="shared" si="8"/>
        <v>0.43636363636363629</v>
      </c>
      <c r="AF43" s="7">
        <f t="shared" si="8"/>
        <v>0.38095238095238093</v>
      </c>
      <c r="AG43" s="7">
        <f t="shared" si="8"/>
        <v>0.32000000000000006</v>
      </c>
      <c r="AH43" s="7">
        <f t="shared" si="8"/>
        <v>0.25263157894736837</v>
      </c>
      <c r="AI43" s="7">
        <f t="shared" si="8"/>
        <v>0.17777777777777781</v>
      </c>
      <c r="AJ43" s="7">
        <f t="shared" si="8"/>
        <v>9.4117647058823542E-2</v>
      </c>
      <c r="AK43" s="6">
        <v>0.8</v>
      </c>
    </row>
    <row r="44" spans="17:37">
      <c r="Q44" s="7">
        <f t="shared" si="7"/>
        <v>0.91891891891891886</v>
      </c>
      <c r="R44" s="7">
        <f t="shared" si="7"/>
        <v>0.89722222222222225</v>
      </c>
      <c r="S44" s="7">
        <f t="shared" si="7"/>
        <v>0.87428571428571433</v>
      </c>
      <c r="T44" s="7">
        <f t="shared" si="7"/>
        <v>0.85</v>
      </c>
      <c r="U44" s="7">
        <f t="shared" si="7"/>
        <v>0.82424242424242433</v>
      </c>
      <c r="V44" s="7">
        <f t="shared" si="7"/>
        <v>0.79687499999999989</v>
      </c>
      <c r="W44" s="7">
        <f t="shared" si="7"/>
        <v>0.76774193548387104</v>
      </c>
      <c r="X44" s="7">
        <f t="shared" si="7"/>
        <v>0.73666666666666669</v>
      </c>
      <c r="Y44" s="7">
        <f t="shared" si="7"/>
        <v>0.70344827586206904</v>
      </c>
      <c r="Z44" s="7">
        <f t="shared" si="7"/>
        <v>0.66785714285714293</v>
      </c>
      <c r="AA44" s="7">
        <f t="shared" si="8"/>
        <v>0.62962962962962954</v>
      </c>
      <c r="AB44" s="7">
        <f t="shared" si="8"/>
        <v>0.58846153846153848</v>
      </c>
      <c r="AC44" s="7">
        <f t="shared" si="8"/>
        <v>0.54400000000000004</v>
      </c>
      <c r="AD44" s="7">
        <f t="shared" si="8"/>
        <v>0.49583333333333335</v>
      </c>
      <c r="AE44" s="7">
        <f t="shared" si="8"/>
        <v>0.44347826086956527</v>
      </c>
      <c r="AF44" s="7">
        <f t="shared" si="8"/>
        <v>0.3863636363636363</v>
      </c>
      <c r="AG44" s="7">
        <f t="shared" si="8"/>
        <v>0.32380952380952382</v>
      </c>
      <c r="AH44" s="7">
        <f t="shared" si="8"/>
        <v>0.255</v>
      </c>
      <c r="AI44" s="7">
        <f t="shared" si="8"/>
        <v>0.17894736842105266</v>
      </c>
      <c r="AJ44" s="7">
        <f t="shared" si="8"/>
        <v>9.4444444444444442E-2</v>
      </c>
      <c r="AK44" s="6">
        <v>0.85</v>
      </c>
    </row>
    <row r="45" spans="17:37">
      <c r="Q45" s="7">
        <f t="shared" si="7"/>
        <v>0.94736842105263164</v>
      </c>
      <c r="R45" s="7">
        <f t="shared" si="7"/>
        <v>0.92432432432432421</v>
      </c>
      <c r="S45" s="7">
        <f t="shared" si="7"/>
        <v>0.9</v>
      </c>
      <c r="T45" s="7">
        <f t="shared" si="7"/>
        <v>0.87428571428571433</v>
      </c>
      <c r="U45" s="7">
        <f t="shared" si="7"/>
        <v>0.84705882352941175</v>
      </c>
      <c r="V45" s="7">
        <f t="shared" si="7"/>
        <v>0.81818181818181823</v>
      </c>
      <c r="W45" s="7">
        <f t="shared" si="7"/>
        <v>0.78749999999999998</v>
      </c>
      <c r="X45" s="7">
        <f t="shared" si="7"/>
        <v>0.75483870967741939</v>
      </c>
      <c r="Y45" s="7">
        <f t="shared" si="7"/>
        <v>0.72000000000000008</v>
      </c>
      <c r="Z45" s="7">
        <f t="shared" si="7"/>
        <v>0.6827586206896552</v>
      </c>
      <c r="AA45" s="7">
        <f t="shared" si="8"/>
        <v>0.6428571428571429</v>
      </c>
      <c r="AB45" s="7">
        <f t="shared" si="8"/>
        <v>0.6</v>
      </c>
      <c r="AC45" s="7">
        <f t="shared" si="8"/>
        <v>0.55384615384615388</v>
      </c>
      <c r="AD45" s="7">
        <f t="shared" si="8"/>
        <v>0.504</v>
      </c>
      <c r="AE45" s="7">
        <f t="shared" si="8"/>
        <v>0.45000000000000007</v>
      </c>
      <c r="AF45" s="7">
        <f t="shared" si="8"/>
        <v>0.39130434782608697</v>
      </c>
      <c r="AG45" s="7">
        <f t="shared" si="8"/>
        <v>0.32727272727272727</v>
      </c>
      <c r="AH45" s="7">
        <f t="shared" si="8"/>
        <v>0.25714285714285717</v>
      </c>
      <c r="AI45" s="7">
        <f t="shared" si="8"/>
        <v>0.18000000000000002</v>
      </c>
      <c r="AJ45" s="7">
        <f t="shared" si="8"/>
        <v>9.4736842105263161E-2</v>
      </c>
      <c r="AK45" s="6">
        <v>0.9</v>
      </c>
    </row>
    <row r="46" spans="17:37">
      <c r="Q46" s="7">
        <f t="shared" si="7"/>
        <v>0.97435897435897434</v>
      </c>
      <c r="R46" s="7">
        <f t="shared" si="7"/>
        <v>0.95000000000000007</v>
      </c>
      <c r="S46" s="7">
        <f t="shared" si="7"/>
        <v>0.92432432432432421</v>
      </c>
      <c r="T46" s="7">
        <f t="shared" si="7"/>
        <v>0.89722222222222225</v>
      </c>
      <c r="U46" s="7">
        <f t="shared" si="7"/>
        <v>0.86857142857142855</v>
      </c>
      <c r="V46" s="7">
        <f t="shared" si="7"/>
        <v>0.83823529411764697</v>
      </c>
      <c r="W46" s="7">
        <f t="shared" si="7"/>
        <v>0.80606060606060603</v>
      </c>
      <c r="X46" s="7">
        <f t="shared" si="7"/>
        <v>0.77187499999999987</v>
      </c>
      <c r="Y46" s="7">
        <f t="shared" si="7"/>
        <v>0.73548387096774193</v>
      </c>
      <c r="Z46" s="7">
        <f t="shared" si="7"/>
        <v>0.69666666666666666</v>
      </c>
      <c r="AA46" s="7">
        <f t="shared" si="8"/>
        <v>0.65517241379310343</v>
      </c>
      <c r="AB46" s="7">
        <f t="shared" si="8"/>
        <v>0.61071428571428577</v>
      </c>
      <c r="AC46" s="7">
        <f t="shared" si="8"/>
        <v>0.56296296296296289</v>
      </c>
      <c r="AD46" s="7">
        <f t="shared" si="8"/>
        <v>0.5115384615384615</v>
      </c>
      <c r="AE46" s="7">
        <f t="shared" si="8"/>
        <v>0.45599999999999996</v>
      </c>
      <c r="AF46" s="7">
        <f t="shared" si="8"/>
        <v>0.39583333333333331</v>
      </c>
      <c r="AG46" s="7">
        <f t="shared" si="8"/>
        <v>0.33043478260869569</v>
      </c>
      <c r="AH46" s="7">
        <f t="shared" si="8"/>
        <v>0.25909090909090909</v>
      </c>
      <c r="AI46" s="7">
        <f t="shared" si="8"/>
        <v>0.18095238095238095</v>
      </c>
      <c r="AJ46" s="7">
        <f t="shared" si="8"/>
        <v>9.5000000000000001E-2</v>
      </c>
      <c r="AK46" s="6">
        <v>0.95</v>
      </c>
    </row>
    <row r="47" spans="17:37">
      <c r="Q47" s="7">
        <f t="shared" si="7"/>
        <v>1</v>
      </c>
      <c r="R47" s="7">
        <f t="shared" si="7"/>
        <v>0.97435897435897434</v>
      </c>
      <c r="S47" s="7">
        <f t="shared" si="7"/>
        <v>0.94736842105263164</v>
      </c>
      <c r="T47" s="7">
        <f t="shared" si="7"/>
        <v>0.91891891891891886</v>
      </c>
      <c r="U47" s="7">
        <f t="shared" si="7"/>
        <v>0.88888888888888895</v>
      </c>
      <c r="V47" s="7">
        <f t="shared" si="7"/>
        <v>0.8571428571428571</v>
      </c>
      <c r="W47" s="7">
        <f t="shared" si="7"/>
        <v>0.82352941176470584</v>
      </c>
      <c r="X47" s="7">
        <f t="shared" si="7"/>
        <v>0.78787878787878796</v>
      </c>
      <c r="Y47" s="7">
        <f t="shared" si="7"/>
        <v>0.74999999999999989</v>
      </c>
      <c r="Z47" s="7">
        <f t="shared" si="7"/>
        <v>0.70967741935483875</v>
      </c>
      <c r="AA47" s="7">
        <f t="shared" si="8"/>
        <v>0.66666666666666663</v>
      </c>
      <c r="AB47" s="7">
        <f t="shared" si="8"/>
        <v>0.62068965517241381</v>
      </c>
      <c r="AC47" s="7">
        <f t="shared" si="8"/>
        <v>0.57142857142857151</v>
      </c>
      <c r="AD47" s="7">
        <f t="shared" si="8"/>
        <v>0.51851851851851849</v>
      </c>
      <c r="AE47" s="7">
        <f t="shared" si="8"/>
        <v>0.46153846153846151</v>
      </c>
      <c r="AF47" s="7">
        <f t="shared" si="8"/>
        <v>0.4</v>
      </c>
      <c r="AG47" s="7">
        <f t="shared" si="8"/>
        <v>0.33333333333333337</v>
      </c>
      <c r="AH47" s="7">
        <f t="shared" si="8"/>
        <v>0.2608695652173913</v>
      </c>
      <c r="AI47" s="7">
        <f t="shared" si="8"/>
        <v>0.18181818181818182</v>
      </c>
      <c r="AJ47" s="7">
        <f t="shared" si="8"/>
        <v>9.5238095238095233E-2</v>
      </c>
      <c r="AK47" s="6">
        <v>1</v>
      </c>
    </row>
  </sheetData>
  <sortState xmlns:xlrd2="http://schemas.microsoft.com/office/spreadsheetml/2017/richdata2" ref="K2:Q13">
    <sortCondition ref="K2:K13"/>
  </sortState>
  <mergeCells count="2">
    <mergeCell ref="Q1:X1"/>
    <mergeCell ref="Y1:AF1"/>
  </mergeCells>
  <conditionalFormatting sqref="R4:AK24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27:AJ4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8740157499999996" right="0.78740157499999996" top="0.984251969" bottom="0.984251969" header="0.4921259845" footer="0.492125984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2021-06-09T10:08:12Z</dcterms:created>
  <dcterms:modified xsi:type="dcterms:W3CDTF">2021-06-10T11:05:05Z</dcterms:modified>
</cp:coreProperties>
</file>